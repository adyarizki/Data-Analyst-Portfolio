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likasi\db_learn\portfolio\"/>
    </mc:Choice>
  </mc:AlternateContent>
  <xr:revisionPtr revIDLastSave="0" documentId="13_ncr:1_{3392871E-5ED4-418F-93DB-9DAB7083D3FA}" xr6:coauthVersionLast="47" xr6:coauthVersionMax="47" xr10:uidLastSave="{00000000-0000-0000-0000-000000000000}"/>
  <bookViews>
    <workbookView xWindow="-120" yWindow="-120" windowWidth="20730" windowHeight="11160" xr2:uid="{BEA182C4-1FC0-4131-AAB3-684EB3CE2021}"/>
  </bookViews>
  <sheets>
    <sheet name="player_data_cleaning" sheetId="2" r:id="rId1"/>
  </sheets>
  <definedNames>
    <definedName name="ExternalData_1" localSheetId="0" hidden="1">player_data_cleaning!$A$1:$AK$130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F4386F-54EB-428B-AB53-255DE2DEA2EF}" keepAlive="1" name="Query - player_data_cleaning" description="Connection to the 'player_data_cleaning' query in the workbook." type="5" refreshedVersion="7" background="1" saveData="1">
    <dbPr connection="Provider=Microsoft.Mashup.OleDb.1;Data Source=$Workbook$;Location=player_data_cleaning;Extended Properties=&quot;&quot;" command="SELECT * FROM [player_data_cleaning]"/>
  </connection>
</connections>
</file>

<file path=xl/sharedStrings.xml><?xml version="1.0" encoding="utf-8"?>
<sst xmlns="http://schemas.openxmlformats.org/spreadsheetml/2006/main" count="682" uniqueCount="267">
  <si>
    <t>Player Name</t>
  </si>
  <si>
    <t>Player Team</t>
  </si>
  <si>
    <t>Team Formation</t>
  </si>
  <si>
    <t>Player Age</t>
  </si>
  <si>
    <t>Player Height</t>
  </si>
  <si>
    <t>Position 1</t>
  </si>
  <si>
    <t>Position 2</t>
  </si>
  <si>
    <t>Mins Played</t>
  </si>
  <si>
    <t>interceptionPerGame</t>
  </si>
  <si>
    <t>foulsPerGame</t>
  </si>
  <si>
    <t>clearancePerGame</t>
  </si>
  <si>
    <t>wasDribbledPerGame</t>
  </si>
  <si>
    <t>goal</t>
  </si>
  <si>
    <t>assistTotal</t>
  </si>
  <si>
    <t>shotsPerGame</t>
  </si>
  <si>
    <t>keyPassPerGame</t>
  </si>
  <si>
    <t>dribbleWonPerGame</t>
  </si>
  <si>
    <t>foulGivenPerGame</t>
  </si>
  <si>
    <t>offsideGivenPerGame</t>
  </si>
  <si>
    <t>dispossessedPerGame</t>
  </si>
  <si>
    <t>turnoverPerGame</t>
  </si>
  <si>
    <t>totalPassesPerGame</t>
  </si>
  <si>
    <t>passSuccess</t>
  </si>
  <si>
    <t>accurateCrossesPerGame</t>
  </si>
  <si>
    <t>accurateLongPassPerGame</t>
  </si>
  <si>
    <t>accurateThroughBallPerGame</t>
  </si>
  <si>
    <t>xG</t>
  </si>
  <si>
    <t>xGPerNinety</t>
  </si>
  <si>
    <t>totalShots</t>
  </si>
  <si>
    <t>xGPerShot</t>
  </si>
  <si>
    <t>rating</t>
  </si>
  <si>
    <t>Lamine Yamal</t>
  </si>
  <si>
    <t>Barcelona</t>
  </si>
  <si>
    <t>4-2-3-1</t>
  </si>
  <si>
    <t>AM(R)</t>
  </si>
  <si>
    <t>Florian Wirtz</t>
  </si>
  <si>
    <t>Leverkusen</t>
  </si>
  <si>
    <t>3-4-2-1</t>
  </si>
  <si>
    <t>AM(CLR)</t>
  </si>
  <si>
    <t>FW</t>
  </si>
  <si>
    <t>Rayan Cherki</t>
  </si>
  <si>
    <t>Lyon</t>
  </si>
  <si>
    <t>João Neves</t>
  </si>
  <si>
    <t>PSG</t>
  </si>
  <si>
    <t>4-3-3</t>
  </si>
  <si>
    <t>DMC</t>
  </si>
  <si>
    <t>Andrey Santos</t>
  </si>
  <si>
    <t>Strasbourg</t>
  </si>
  <si>
    <t>Jude Bellingham</t>
  </si>
  <si>
    <t>Real Madrid</t>
  </si>
  <si>
    <t>4-4-2</t>
  </si>
  <si>
    <t>M(CLR)</t>
  </si>
  <si>
    <t>Xavi Simons</t>
  </si>
  <si>
    <t>RBL</t>
  </si>
  <si>
    <t xml:space="preserve">3-4-2-1 </t>
  </si>
  <si>
    <t>Tom Bischof</t>
  </si>
  <si>
    <t>Hoffenheim</t>
  </si>
  <si>
    <t>M(CR)</t>
  </si>
  <si>
    <t>Pau Cubarsí</t>
  </si>
  <si>
    <t>D(C)</t>
  </si>
  <si>
    <t>Nico Paz</t>
  </si>
  <si>
    <t>Como</t>
  </si>
  <si>
    <t>AM(C)</t>
  </si>
  <si>
    <t>Warren Zaïre-Emery</t>
  </si>
  <si>
    <t>RB</t>
  </si>
  <si>
    <t>DMC,M(R)</t>
  </si>
  <si>
    <t>Désiré Doué</t>
  </si>
  <si>
    <t>Nathaniel Brown</t>
  </si>
  <si>
    <t>Eintracht Frankfurt</t>
  </si>
  <si>
    <t>LB</t>
  </si>
  <si>
    <t>M(L)</t>
  </si>
  <si>
    <t>Kenan Yildiz</t>
  </si>
  <si>
    <t>Juventus</t>
  </si>
  <si>
    <t>AM(CL)</t>
  </si>
  <si>
    <t>Dário Essugo</t>
  </si>
  <si>
    <t>Las Palmas</t>
  </si>
  <si>
    <t>Amadou Koné</t>
  </si>
  <si>
    <t>Reims</t>
  </si>
  <si>
    <t>Valentin Atangana Edoa</t>
  </si>
  <si>
    <t>Bence Dárdai</t>
  </si>
  <si>
    <t>Wolfsburg</t>
  </si>
  <si>
    <t>M(C)</t>
  </si>
  <si>
    <t>Arda Güler</t>
  </si>
  <si>
    <t>AM(CR)</t>
  </si>
  <si>
    <t>Kévin Danois</t>
  </si>
  <si>
    <t>Auxerre</t>
  </si>
  <si>
    <t>5-4-1</t>
  </si>
  <si>
    <t>Álvaro Rodríguez</t>
  </si>
  <si>
    <t>Getafe</t>
  </si>
  <si>
    <t>Niccolò Pisilli</t>
  </si>
  <si>
    <t>Roma</t>
  </si>
  <si>
    <t>Mario Martín</t>
  </si>
  <si>
    <t>Real Valladolid</t>
  </si>
  <si>
    <t>4-1-4-1</t>
  </si>
  <si>
    <t>Orri Óskarsson</t>
  </si>
  <si>
    <t>Real Sociedad</t>
  </si>
  <si>
    <t>Jamie Gittens</t>
  </si>
  <si>
    <t>Borussia Dortmund</t>
  </si>
  <si>
    <t>Lamine Camara</t>
  </si>
  <si>
    <t>Monaco</t>
  </si>
  <si>
    <t>Hákon Haraldsson</t>
  </si>
  <si>
    <t>Lille</t>
  </si>
  <si>
    <t>Marc Casadó</t>
  </si>
  <si>
    <t>Savinho</t>
  </si>
  <si>
    <t>Man City</t>
  </si>
  <si>
    <t>Beraldo</t>
  </si>
  <si>
    <t>D(CL)</t>
  </si>
  <si>
    <t>Diego Moreira</t>
  </si>
  <si>
    <t>Matías Soulé</t>
  </si>
  <si>
    <t>Benjamín Domínguez</t>
  </si>
  <si>
    <t>Bologna</t>
  </si>
  <si>
    <t>AM(L)</t>
  </si>
  <si>
    <t>Dean Huijsen</t>
  </si>
  <si>
    <t>Bournemouth</t>
  </si>
  <si>
    <t>Arnau Martínez</t>
  </si>
  <si>
    <t>Girona</t>
  </si>
  <si>
    <t>M(R)</t>
  </si>
  <si>
    <t>Nicolò Savona</t>
  </si>
  <si>
    <t>Carlos Baleba</t>
  </si>
  <si>
    <t>Brighton</t>
  </si>
  <si>
    <t>Benjamin Sesko</t>
  </si>
  <si>
    <t>Javi Rodríguez</t>
  </si>
  <si>
    <t>Celta Vigo</t>
  </si>
  <si>
    <t>3-4-3</t>
  </si>
  <si>
    <t>Félix Lemaréchal</t>
  </si>
  <si>
    <t>Hugo Álvarez</t>
  </si>
  <si>
    <t>M(LR)</t>
  </si>
  <si>
    <t>Lewis Hall</t>
  </si>
  <si>
    <t>Newcastle</t>
  </si>
  <si>
    <t>Yáser Asprilla</t>
  </si>
  <si>
    <t>Eliesse Ben Seghir</t>
  </si>
  <si>
    <t>Juanlu Sánchez</t>
  </si>
  <si>
    <t>Sevilla</t>
  </si>
  <si>
    <t>Oumar Diakité</t>
  </si>
  <si>
    <t>Fermín López</t>
  </si>
  <si>
    <t>Yehor Yarmoliuk</t>
  </si>
  <si>
    <t>Brentford</t>
  </si>
  <si>
    <t>Unai Gómez</t>
  </si>
  <si>
    <t>Athletic Club</t>
  </si>
  <si>
    <t>Alejo Véliz</t>
  </si>
  <si>
    <t>Espanyol</t>
  </si>
  <si>
    <t>Yankuba Minteh</t>
  </si>
  <si>
    <t>Aleksandar Pavlovic</t>
  </si>
  <si>
    <t>Bayern</t>
  </si>
  <si>
    <t>Alejandro Balde</t>
  </si>
  <si>
    <t>D(LR)</t>
  </si>
  <si>
    <t>Antonio Nusa</t>
  </si>
  <si>
    <t>Diego Coppola</t>
  </si>
  <si>
    <t>Verona</t>
  </si>
  <si>
    <t>Pablo Barrios</t>
  </si>
  <si>
    <t>Atletico</t>
  </si>
  <si>
    <t>Milos Kerkez</t>
  </si>
  <si>
    <t>Habib Diarra</t>
  </si>
  <si>
    <t>Konstantinos Koulierakis</t>
  </si>
  <si>
    <t>Mohamed-Ali Cho</t>
  </si>
  <si>
    <t>Nice</t>
  </si>
  <si>
    <t>Matthis Abline</t>
  </si>
  <si>
    <t>Nantes</t>
  </si>
  <si>
    <t>AM(LR)</t>
  </si>
  <si>
    <t>Malick Fofana</t>
  </si>
  <si>
    <t>Mikel Jauregizar</t>
  </si>
  <si>
    <t>Santiago Castro</t>
  </si>
  <si>
    <t>Mamadou Sarr</t>
  </si>
  <si>
    <t>Alberto Moleiro</t>
  </si>
  <si>
    <t>Facundo Buonanotte</t>
  </si>
  <si>
    <t>Leicester</t>
  </si>
  <si>
    <t>Christantus Uche</t>
  </si>
  <si>
    <t>Nnamdi Collins</t>
  </si>
  <si>
    <t>D(CR)</t>
  </si>
  <si>
    <t>Jordan James</t>
  </si>
  <si>
    <t>Rennes</t>
  </si>
  <si>
    <t>3-5-2</t>
  </si>
  <si>
    <t>M(CL)</t>
  </si>
  <si>
    <t>Mateus Fernandes</t>
  </si>
  <si>
    <t>Southampton</t>
  </si>
  <si>
    <t>Soungoutou Magassa</t>
  </si>
  <si>
    <t>Pietro Comuzzo</t>
  </si>
  <si>
    <t>Fiorentina</t>
  </si>
  <si>
    <t>Christian Mawissa</t>
  </si>
  <si>
    <t>Ethan Nwaneri</t>
  </si>
  <si>
    <t>Arsenal</t>
  </si>
  <si>
    <t>Hugo Larsson</t>
  </si>
  <si>
    <t>Yasin Ayari</t>
  </si>
  <si>
    <t>Yarek Gasiorowski</t>
  </si>
  <si>
    <t>Valencia</t>
  </si>
  <si>
    <t>Tom Rothe</t>
  </si>
  <si>
    <t>Union Berlin</t>
  </si>
  <si>
    <t>Samuel Mbangula</t>
  </si>
  <si>
    <t>Ange-Yoan Bonny</t>
  </si>
  <si>
    <t>Parma Calcio 1913</t>
  </si>
  <si>
    <t>Patrick Dorgu</t>
  </si>
  <si>
    <t>Lecce</t>
  </si>
  <si>
    <t>Tom Louchet</t>
  </si>
  <si>
    <t>Ngal'ayel Mukau</t>
  </si>
  <si>
    <t>Jack Hinshelwood</t>
  </si>
  <si>
    <t>Lucas Stassin</t>
  </si>
  <si>
    <t>Saint-Etienne</t>
  </si>
  <si>
    <t>Kobbie Mainoo</t>
  </si>
  <si>
    <t>Man Utd</t>
  </si>
  <si>
    <t>Emmanuel Biumla</t>
  </si>
  <si>
    <t>Angers</t>
  </si>
  <si>
    <t>Ernest Nuamah</t>
  </si>
  <si>
    <t>Bilal El Khannouss</t>
  </si>
  <si>
    <t>Rabby Nzingoula</t>
  </si>
  <si>
    <t>Montpellier</t>
  </si>
  <si>
    <t>5-3-2</t>
  </si>
  <si>
    <t>Fabio Miretti</t>
  </si>
  <si>
    <t>Genoa</t>
  </si>
  <si>
    <t>Omari Hutchinson</t>
  </si>
  <si>
    <t>Ipswich</t>
  </si>
  <si>
    <t>Lukas Ullrich</t>
  </si>
  <si>
    <t>Borussia M.Gladbach</t>
  </si>
  <si>
    <t>Rico Lewis</t>
  </si>
  <si>
    <t>Lucas Bergvall</t>
  </si>
  <si>
    <t>Tottenham</t>
  </si>
  <si>
    <t>Gvidas Gineitis</t>
  </si>
  <si>
    <t>Torino</t>
  </si>
  <si>
    <t>Guillaume Restes</t>
  </si>
  <si>
    <t>Toulouse</t>
  </si>
  <si>
    <t>GK</t>
  </si>
  <si>
    <t>Vitor Roque</t>
  </si>
  <si>
    <t>Real Betis</t>
  </si>
  <si>
    <t>Cristhian Mosquera</t>
  </si>
  <si>
    <t>Antoine Joujou</t>
  </si>
  <si>
    <t>Le Havre</t>
  </si>
  <si>
    <t>Andy Diouf</t>
  </si>
  <si>
    <t>Lens</t>
  </si>
  <si>
    <t>Tyler Dibling</t>
  </si>
  <si>
    <t>Luca Netz</t>
  </si>
  <si>
    <t>Javi Guerra</t>
  </si>
  <si>
    <t>Badredine Bouanani</t>
  </si>
  <si>
    <t>Paul Wanner</t>
  </si>
  <si>
    <t>FC Heidenheim</t>
  </si>
  <si>
    <t>Williot Swedberg</t>
  </si>
  <si>
    <t>Malo Gusto</t>
  </si>
  <si>
    <t>Chelsea</t>
  </si>
  <si>
    <t>Hugo Sotelo</t>
  </si>
  <si>
    <t>Alejandro Garnacho</t>
  </si>
  <si>
    <t>George Ilenikhena</t>
  </si>
  <si>
    <t>Khalil Fayad</t>
  </si>
  <si>
    <t>Leopold Querfeld</t>
  </si>
  <si>
    <t>Mamadou Diakhon</t>
  </si>
  <si>
    <t>Aljoscha Kemlein</t>
  </si>
  <si>
    <t>Lesley Ugochukwu</t>
  </si>
  <si>
    <t>Tommaso Baldanzi</t>
  </si>
  <si>
    <t>Arthur Vermeeren</t>
  </si>
  <si>
    <t>Saba Goglichidze</t>
  </si>
  <si>
    <t>Empoli</t>
  </si>
  <si>
    <t>Tim Oermann</t>
  </si>
  <si>
    <t>Bochum</t>
  </si>
  <si>
    <t>Leny Yoro</t>
  </si>
  <si>
    <t>Rodrigo Gomes</t>
  </si>
  <si>
    <t>Wolves</t>
  </si>
  <si>
    <t>Issa Doumbia</t>
  </si>
  <si>
    <t>Venezia</t>
  </si>
  <si>
    <t>Jeff Ekhator</t>
  </si>
  <si>
    <t>David Torres</t>
  </si>
  <si>
    <t>Mathis Amougou</t>
  </si>
  <si>
    <t>Nhoa Sangui</t>
  </si>
  <si>
    <t>Loum Tchaouna</t>
  </si>
  <si>
    <t>Lazio</t>
  </si>
  <si>
    <t>G_plus_A_per_90</t>
  </si>
  <si>
    <t>DefensiveReadness</t>
  </si>
  <si>
    <t>BallProferssion&amp;Creativity</t>
  </si>
  <si>
    <t>Normalisasi Offensive</t>
  </si>
  <si>
    <t>Normalisasi Defensive:</t>
  </si>
  <si>
    <t>Normalisasi Progression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</si>
</sst>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BD3854-5316-4414-834E-3C2977C82E85}" autoFormatId="16" applyNumberFormats="0" applyBorderFormats="0" applyFontFormats="0" applyPatternFormats="0" applyAlignmentFormats="0" applyWidthHeightFormats="0">
  <queryTableRefresh nextId="40">
    <queryTableFields count="37">
      <queryTableField id="1" name="Player Name" tableColumnId="1"/>
      <queryTableField id="2" name="Player Team" tableColumnId="2"/>
      <queryTableField id="3" name="Team Formation" tableColumnId="3"/>
      <queryTableField id="4" name="Player Age" tableColumnId="4"/>
      <queryTableField id="5" name="Player Height" tableColumnId="5"/>
      <queryTableField id="6" name="Position 1" tableColumnId="6"/>
      <queryTableField id="7" name="Position 2" tableColumnId="7"/>
      <queryTableField id="8" name="Mins Played" tableColumnId="8"/>
      <queryTableField id="32" dataBound="0" tableColumnId="32"/>
      <queryTableField id="34" dataBound="0" tableColumnId="34"/>
      <queryTableField id="36" dataBound="0" tableColumnId="36"/>
      <queryTableField id="39" dataBound="0" tableColumnId="37"/>
      <queryTableField id="38" dataBound="0" tableColumnId="38"/>
      <queryTableField id="37" dataBound="0" tableColumnId="39"/>
      <queryTableField id="9" name="interceptionPerGame" tableColumnId="9"/>
      <queryTableField id="10" name="foulsPerGame" tableColumnId="10"/>
      <queryTableField id="11" name="clearancePerGame" tableColumnId="11"/>
      <queryTableField id="12" name="wasDribbledPerGame" tableColumnId="12"/>
      <queryTableField id="13" name="goal" tableColumnId="13"/>
      <queryTableField id="14" name="assistTotal" tableColumnId="14"/>
      <queryTableField id="15" name="shotsPerGame" tableColumnId="15"/>
      <queryTableField id="16" name="keyPassPerGame" tableColumnId="16"/>
      <queryTableField id="17" name="dribbleWonPerGame" tableColumnId="17"/>
      <queryTableField id="18" name="foulGivenPerGame" tableColumnId="18"/>
      <queryTableField id="19" name="offsideGivenPerGame" tableColumnId="19"/>
      <queryTableField id="20" name="dispossessedPerGame" tableColumnId="20"/>
      <queryTableField id="21" name="turnoverPerGame" tableColumnId="21"/>
      <queryTableField id="22" name="totalPassesPerGame" tableColumnId="22"/>
      <queryTableField id="23" name="passSuccess" tableColumnId="23"/>
      <queryTableField id="24" name="accurateCrossesPerGame" tableColumnId="24"/>
      <queryTableField id="25" name="accurateLongPassPerGame" tableColumnId="25"/>
      <queryTableField id="26" name="accurateThroughBallPerGame" tableColumnId="26"/>
      <queryTableField id="27" name="xG" tableColumnId="27"/>
      <queryTableField id="28" name="xGPerNinety" tableColumnId="28"/>
      <queryTableField id="29" name="totalShots" tableColumnId="29"/>
      <queryTableField id="30" name="xGPerShot" tableColumnId="30"/>
      <queryTableField id="31" name="rating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9BFBA-C118-42B4-9BD7-30416108C100}" name="player_data_cleaning" displayName="player_data_cleaning" ref="A1:AK130" tableType="queryTable" totalsRowShown="0">
  <autoFilter ref="A1:AK130" xr:uid="{3079BFBA-C118-42B4-9BD7-30416108C100}"/>
  <tableColumns count="37">
    <tableColumn id="1" xr3:uid="{D210D559-83AB-4B74-8436-DCB82275616C}" uniqueName="1" name="Player Name" queryTableFieldId="1" dataDxfId="10"/>
    <tableColumn id="2" xr3:uid="{64C378DB-33F8-4C68-BF44-A2BFE54B5BAD}" uniqueName="2" name="Player Team" queryTableFieldId="2" dataDxfId="9"/>
    <tableColumn id="3" xr3:uid="{C6E1C7B8-5B3C-4F5A-92A9-44AA36890CF4}" uniqueName="3" name="Team Formation" queryTableFieldId="3" dataDxfId="8"/>
    <tableColumn id="4" xr3:uid="{E225BB26-075F-47E9-AC67-1DF9C8BD04C6}" uniqueName="4" name="Player Age" queryTableFieldId="4"/>
    <tableColumn id="5" xr3:uid="{F4E8F12F-2A51-4AB7-B1A1-66E47B89AF14}" uniqueName="5" name="Player Height" queryTableFieldId="5"/>
    <tableColumn id="6" xr3:uid="{7EB413C9-8432-4E7D-9ACD-9107DC666B71}" uniqueName="6" name="Position 1" queryTableFieldId="6" dataDxfId="7"/>
    <tableColumn id="7" xr3:uid="{2DED8B14-3697-4D4D-8FB5-F54224FA5956}" uniqueName="7" name="Position 2" queryTableFieldId="7" dataDxfId="6"/>
    <tableColumn id="8" xr3:uid="{0D201279-FC6A-4C71-B00E-CB6C38367910}" uniqueName="8" name="Mins Played" queryTableFieldId="8"/>
    <tableColumn id="32" xr3:uid="{A1765A91-ACF8-4857-95F7-224032533E9D}" uniqueName="32" name="G_plus_A_per_90" queryTableFieldId="32" dataDxfId="5">
      <calculatedColumnFormula>((player_data_cleaning[[#This Row],[goal]]+ player_data_cleaning[[#This Row],[assistTotal]]) /player_data_cleaning[[#This Row],[Mins Played]])* 90</calculatedColumnFormula>
    </tableColumn>
    <tableColumn id="34" xr3:uid="{C45C5DAD-D274-4474-9DC9-6873461CF659}" uniqueName="34" name="DefensiveReadness" queryTableFieldId="34" dataDxfId="4">
      <calculatedColumnFormula>player_data_cleaning[[#This Row],[interceptionPerGame]]+player_data_cleaning[[#This Row],[clearancePerGame]]</calculatedColumnFormula>
    </tableColumn>
    <tableColumn id="36" xr3:uid="{0F25CF0F-559D-4CF9-BD52-7075766AC8DE}" uniqueName="36" name="BallProferssion&amp;Creativity" queryTableFieldId="36" dataDxfId="3">
      <calculatedColumnFormula>(player_data_cleaning[[#This Row],[dribbleWonPerGame]]*0.5) + (player_data_cleaning[[#This Row],[keyPassPerGame]]*0.5)</calculatedColumnFormula>
    </tableColumn>
    <tableColumn id="37" xr3:uid="{4F7AC408-B32C-4B53-B1F9-627E73EFB305}" uniqueName="37" name="Normalisasi Offensive" queryTableFieldId="39" dataDxfId="2">
      <calculatedColumnFormula>(I2- MIN($I$2:$I$130) )/( MAX($I$2:$I$130) -MIN($I$2:$I$130))</calculatedColumnFormula>
    </tableColumn>
    <tableColumn id="38" xr3:uid="{94F5C9C6-1029-448F-9CAD-880AEB01C01D}" uniqueName="38" name="Normalisasi Defensive:" queryTableFieldId="38" dataDxfId="1">
      <calculatedColumnFormula>(J2- MIN($J$2:$J$130) )/ (MAX($J$2:$J$130) -MIN($J$2:$J$130))</calculatedColumnFormula>
    </tableColumn>
    <tableColumn id="39" xr3:uid="{1C6EC5E1-14CC-483F-ABB3-4E53FBAC374A}" uniqueName="39" name="Normalisasi Progression" queryTableFieldId="37" dataDxfId="0">
      <calculatedColumnFormula>(player_data_cleaning[[#This Row],[BallProferssion&amp;Creativity]]- MIN(K2:K130) )/ (MAX(K2:K130) -MIN(K2:K130))</calculatedColumnFormula>
    </tableColumn>
    <tableColumn id="9" xr3:uid="{89DB98C6-2B05-46CD-AF71-478375690902}" uniqueName="9" name="interceptionPerGame" queryTableFieldId="9"/>
    <tableColumn id="10" xr3:uid="{829F3D3D-5DD9-4976-89B6-4D5B8AC3B9DF}" uniqueName="10" name="foulsPerGame" queryTableFieldId="10"/>
    <tableColumn id="11" xr3:uid="{003FB5B2-F644-4F77-93E5-D0CA26B4743A}" uniqueName="11" name="clearancePerGame" queryTableFieldId="11"/>
    <tableColumn id="12" xr3:uid="{34FB0765-7C47-4BF5-A929-C3BF9D003574}" uniqueName="12" name="wasDribbledPerGame" queryTableFieldId="12"/>
    <tableColumn id="13" xr3:uid="{9D3B0B44-4486-4890-A714-1855270FBF15}" uniqueName="13" name="goal" queryTableFieldId="13"/>
    <tableColumn id="14" xr3:uid="{7C53490F-FD2F-4A49-A2A1-4DA6CB512CED}" uniqueName="14" name="assistTotal" queryTableFieldId="14"/>
    <tableColumn id="15" xr3:uid="{1170DCEE-F9A1-47BC-95D9-4468539FC5F8}" uniqueName="15" name="shotsPerGame" queryTableFieldId="15"/>
    <tableColumn id="16" xr3:uid="{BE7D8E97-854E-46E6-AE30-EBF4923AEAD1}" uniqueName="16" name="keyPassPerGame" queryTableFieldId="16"/>
    <tableColumn id="17" xr3:uid="{D65C7A02-23E2-4580-AEE8-9088D214C214}" uniqueName="17" name="dribbleWonPerGame" queryTableFieldId="17"/>
    <tableColumn id="18" xr3:uid="{58B88701-6482-4495-89AF-9DDD4C7A83AC}" uniqueName="18" name="foulGivenPerGame" queryTableFieldId="18"/>
    <tableColumn id="19" xr3:uid="{0470B9CD-0B71-44C6-BD08-B66FFAB833DA}" uniqueName="19" name="offsideGivenPerGame" queryTableFieldId="19"/>
    <tableColumn id="20" xr3:uid="{FE4B62A8-7645-45A9-816F-B82BE91DA998}" uniqueName="20" name="dispossessedPerGame" queryTableFieldId="20"/>
    <tableColumn id="21" xr3:uid="{CC90F5E1-AB9F-4C96-BAD7-D2CEF85BD934}" uniqueName="21" name="turnoverPerGame" queryTableFieldId="21"/>
    <tableColumn id="22" xr3:uid="{EBE2793D-12A3-4BC9-A977-AC796FD6388C}" uniqueName="22" name="totalPassesPerGame" queryTableFieldId="22"/>
    <tableColumn id="23" xr3:uid="{70B4F910-729D-4A5A-A3A4-4A96B3DFB066}" uniqueName="23" name="passSuccess" queryTableFieldId="23"/>
    <tableColumn id="24" xr3:uid="{E1B5110D-6DFE-43BE-8039-E55512E261D8}" uniqueName="24" name="accurateCrossesPerGame" queryTableFieldId="24"/>
    <tableColumn id="25" xr3:uid="{74031945-BD78-4367-BDEF-92C479F12927}" uniqueName="25" name="accurateLongPassPerGame" queryTableFieldId="25"/>
    <tableColumn id="26" xr3:uid="{B2B84DD3-92F6-429C-9D7D-4B7EFA8E1903}" uniqueName="26" name="accurateThroughBallPerGame" queryTableFieldId="26"/>
    <tableColumn id="27" xr3:uid="{A5FDC0B5-DAF1-4AD2-94DD-2590B2E481DC}" uniqueName="27" name="xG" queryTableFieldId="27"/>
    <tableColumn id="28" xr3:uid="{533525BF-7CCD-42CD-A812-924D5C5DD450}" uniqueName="28" name="xGPerNinety" queryTableFieldId="28"/>
    <tableColumn id="29" xr3:uid="{1578B32C-191E-4530-8C38-EB47368202B1}" uniqueName="29" name="totalShots" queryTableFieldId="29"/>
    <tableColumn id="30" xr3:uid="{8C1DFB53-DC35-48A3-8F78-BD90993F9ADA}" uniqueName="30" name="xGPerShot" queryTableFieldId="30"/>
    <tableColumn id="31" xr3:uid="{AEAEC2D0-0883-42D6-BB9B-38238C823797}" uniqueName="31" name="rating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1F18-7E5E-4FFD-9C1E-EAADC851F9D3}">
  <dimension ref="A1:AK130"/>
  <sheetViews>
    <sheetView tabSelected="1" topLeftCell="F1" workbookViewId="0">
      <selection activeCell="L9" sqref="L9"/>
    </sheetView>
  </sheetViews>
  <sheetFormatPr defaultRowHeight="15" x14ac:dyDescent="0.25"/>
  <cols>
    <col min="1" max="1" width="23.28515625" bestFit="1" customWidth="1"/>
    <col min="2" max="2" width="19.5703125" bestFit="1" customWidth="1"/>
    <col min="3" max="3" width="17.85546875" bestFit="1" customWidth="1"/>
    <col min="4" max="4" width="12.7109375" bestFit="1" customWidth="1"/>
    <col min="5" max="5" width="15.140625" bestFit="1" customWidth="1"/>
    <col min="6" max="7" width="12" bestFit="1" customWidth="1"/>
    <col min="8" max="8" width="14.140625" bestFit="1" customWidth="1"/>
    <col min="9" max="10" width="20.140625" customWidth="1"/>
    <col min="11" max="11" width="29.7109375" customWidth="1"/>
    <col min="12" max="12" width="20.28515625" bestFit="1" customWidth="1"/>
    <col min="13" max="13" width="23" bestFit="1" customWidth="1"/>
    <col min="14" max="14" width="20.85546875" customWidth="1"/>
    <col min="15" max="15" width="26.140625" customWidth="1"/>
    <col min="16" max="16" width="16.42578125" bestFit="1" customWidth="1"/>
    <col min="17" max="17" width="18.7109375" bestFit="1" customWidth="1"/>
    <col min="18" max="18" width="22.5703125" bestFit="1" customWidth="1"/>
    <col min="19" max="19" width="20.7109375" bestFit="1" customWidth="1"/>
    <col min="20" max="20" width="23.42578125" bestFit="1" customWidth="1"/>
    <col min="21" max="21" width="19.7109375" customWidth="1"/>
    <col min="22" max="22" width="22.5703125" customWidth="1"/>
    <col min="23" max="23" width="22.85546875" customWidth="1"/>
    <col min="24" max="24" width="18.85546875" customWidth="1"/>
    <col min="25" max="25" width="26.140625" bestFit="1" customWidth="1"/>
    <col min="26" max="26" width="12.28515625" customWidth="1"/>
    <col min="27" max="27" width="30.140625" bestFit="1" customWidth="1"/>
    <col min="28" max="28" width="5.7109375" bestFit="1" customWidth="1"/>
    <col min="29" max="29" width="14.7109375" bestFit="1" customWidth="1"/>
    <col min="30" max="30" width="12.28515625" bestFit="1" customWidth="1"/>
    <col min="31" max="31" width="12.7109375" bestFit="1" customWidth="1"/>
    <col min="32" max="32" width="8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</row>
    <row r="2" spans="1:37" x14ac:dyDescent="0.25">
      <c r="A2" s="1" t="s">
        <v>31</v>
      </c>
      <c r="B2" s="1" t="s">
        <v>32</v>
      </c>
      <c r="C2" s="1" t="s">
        <v>33</v>
      </c>
      <c r="D2">
        <v>17</v>
      </c>
      <c r="E2">
        <v>180</v>
      </c>
      <c r="F2" s="1" t="s">
        <v>34</v>
      </c>
      <c r="G2" s="1" t="s">
        <v>34</v>
      </c>
      <c r="H2">
        <v>1885</v>
      </c>
      <c r="I2">
        <f>((player_data_cleaning[[#This Row],[goal]]+ player_data_cleaning[[#This Row],[assistTotal]]) /player_data_cleaning[[#This Row],[Mins Played]])* 90</f>
        <v>0.76392572944297077</v>
      </c>
      <c r="J2">
        <f>player_data_cleaning[[#This Row],[interceptionPerGame]]+player_data_cleaning[[#This Row],[clearancePerGame]]</f>
        <v>6</v>
      </c>
      <c r="K2">
        <f>(player_data_cleaning[[#This Row],[dribbleWonPerGame]]*0.5) + (player_data_cleaning[[#This Row],[keyPassPerGame]]*0.5)</f>
        <v>21.5</v>
      </c>
      <c r="L2">
        <f t="shared" ref="L2:L33" si="0">(I2- MIN($I$2:$I$130) )/( MAX($I$2:$I$130) -MIN($I$2:$I$130))</f>
        <v>0.8003031451307312</v>
      </c>
      <c r="M2">
        <f t="shared" ref="M2:M33" si="1">(J2- MIN($J$2:$J$130) )/ (MAX($J$2:$J$130) -MIN($J$2:$J$130))</f>
        <v>7.0422535211267609E-2</v>
      </c>
      <c r="N2">
        <f>(player_data_cleaning[[#This Row],[BallProferssion&amp;Creativity]]- MIN(K2:K130) )/ (MAX(K2:K130) -MIN(K2:K130))</f>
        <v>0.97727272727272729</v>
      </c>
      <c r="O2">
        <v>5</v>
      </c>
      <c r="P2">
        <v>8</v>
      </c>
      <c r="Q2">
        <v>1</v>
      </c>
      <c r="R2">
        <v>4</v>
      </c>
      <c r="S2">
        <v>5</v>
      </c>
      <c r="T2">
        <v>11</v>
      </c>
      <c r="U2">
        <v>36</v>
      </c>
      <c r="V2">
        <v>2</v>
      </c>
      <c r="W2">
        <v>41</v>
      </c>
      <c r="X2">
        <v>19</v>
      </c>
      <c r="Y2">
        <v>5</v>
      </c>
      <c r="Z2">
        <v>14</v>
      </c>
      <c r="AA2">
        <v>27</v>
      </c>
      <c r="AB2">
        <v>354</v>
      </c>
      <c r="AC2">
        <v>78</v>
      </c>
      <c r="AD2">
        <v>6</v>
      </c>
      <c r="AE2">
        <v>8</v>
      </c>
      <c r="AF2">
        <v>4</v>
      </c>
      <c r="AG2">
        <v>738</v>
      </c>
      <c r="AH2">
        <v>35</v>
      </c>
      <c r="AI2">
        <v>82</v>
      </c>
      <c r="AJ2">
        <v>9</v>
      </c>
      <c r="AK2">
        <v>796</v>
      </c>
    </row>
    <row r="3" spans="1:37" x14ac:dyDescent="0.25">
      <c r="A3" s="1" t="s">
        <v>35</v>
      </c>
      <c r="B3" s="1" t="s">
        <v>36</v>
      </c>
      <c r="C3" s="1" t="s">
        <v>37</v>
      </c>
      <c r="D3">
        <v>21</v>
      </c>
      <c r="E3">
        <v>177</v>
      </c>
      <c r="F3" s="1" t="s">
        <v>38</v>
      </c>
      <c r="G3" s="1" t="s">
        <v>39</v>
      </c>
      <c r="H3">
        <v>1868</v>
      </c>
      <c r="I3">
        <f>((player_data_cleaning[[#This Row],[goal]]+ player_data_cleaning[[#This Row],[assistTotal]]) /player_data_cleaning[[#This Row],[Mins Played]])* 90</f>
        <v>0.91541755888650966</v>
      </c>
      <c r="J3">
        <f>player_data_cleaning[[#This Row],[interceptionPerGame]]+player_data_cleaning[[#This Row],[clearancePerGame]]</f>
        <v>5</v>
      </c>
      <c r="K3">
        <f>(player_data_cleaning[[#This Row],[dribbleWonPerGame]]*0.5) + (player_data_cleaning[[#This Row],[keyPassPerGame]]*0.5)</f>
        <v>2.5</v>
      </c>
      <c r="L3">
        <f t="shared" si="0"/>
        <v>0.95900887121443867</v>
      </c>
      <c r="M3">
        <f t="shared" si="1"/>
        <v>5.6338028169014086E-2</v>
      </c>
      <c r="N3">
        <f>(player_data_cleaning[[#This Row],[BallProferssion&amp;Creativity]]- MIN(K3:K131) )/ (MAX(K3:K131) -MIN(K3:K131))</f>
        <v>0.11363636363636363</v>
      </c>
      <c r="O3">
        <v>3</v>
      </c>
      <c r="P3">
        <v>7</v>
      </c>
      <c r="Q3">
        <v>2</v>
      </c>
      <c r="R3">
        <v>5</v>
      </c>
      <c r="S3">
        <v>9</v>
      </c>
      <c r="T3">
        <v>10</v>
      </c>
      <c r="U3">
        <v>28</v>
      </c>
      <c r="V3">
        <v>2</v>
      </c>
      <c r="W3">
        <v>3</v>
      </c>
      <c r="X3">
        <v>14</v>
      </c>
      <c r="Y3">
        <v>4</v>
      </c>
      <c r="Z3">
        <v>16</v>
      </c>
      <c r="AA3">
        <v>18</v>
      </c>
      <c r="AB3">
        <v>535</v>
      </c>
      <c r="AC3">
        <v>828</v>
      </c>
      <c r="AD3">
        <v>4</v>
      </c>
      <c r="AE3">
        <v>1</v>
      </c>
      <c r="AF3">
        <v>5</v>
      </c>
      <c r="AG3">
        <v>979</v>
      </c>
      <c r="AH3">
        <v>47</v>
      </c>
      <c r="AI3">
        <v>66</v>
      </c>
      <c r="AJ3">
        <v>15</v>
      </c>
      <c r="AK3">
        <v>770</v>
      </c>
    </row>
    <row r="4" spans="1:37" x14ac:dyDescent="0.25">
      <c r="A4" s="1" t="s">
        <v>40</v>
      </c>
      <c r="B4" s="1" t="s">
        <v>41</v>
      </c>
      <c r="C4" s="1" t="s">
        <v>33</v>
      </c>
      <c r="D4">
        <v>21</v>
      </c>
      <c r="E4">
        <v>177</v>
      </c>
      <c r="F4" s="1" t="s">
        <v>38</v>
      </c>
      <c r="G4" s="1" t="s">
        <v>39</v>
      </c>
      <c r="H4">
        <v>1320</v>
      </c>
      <c r="I4">
        <f>((player_data_cleaning[[#This Row],[goal]]+ player_data_cleaning[[#This Row],[assistTotal]]) /player_data_cleaning[[#This Row],[Mins Played]])* 90</f>
        <v>0.95454545454545459</v>
      </c>
      <c r="J4">
        <f>player_data_cleaning[[#This Row],[interceptionPerGame]]+player_data_cleaning[[#This Row],[clearancePerGame]]</f>
        <v>6</v>
      </c>
      <c r="K4">
        <f>(player_data_cleaning[[#This Row],[dribbleWonPerGame]]*0.5) + (player_data_cleaning[[#This Row],[keyPassPerGame]]*0.5)</f>
        <v>22</v>
      </c>
      <c r="L4">
        <f t="shared" si="0"/>
        <v>1</v>
      </c>
      <c r="M4">
        <f t="shared" si="1"/>
        <v>7.0422535211267609E-2</v>
      </c>
      <c r="N4">
        <f>(player_data_cleaning[[#This Row],[BallProferssion&amp;Creativity]]- MIN(K4:K132) )/ (MAX(K4:K132) -MIN(K4:K132))</f>
        <v>1</v>
      </c>
      <c r="O4">
        <v>3</v>
      </c>
      <c r="P4">
        <v>7</v>
      </c>
      <c r="Q4">
        <v>3</v>
      </c>
      <c r="R4">
        <v>7</v>
      </c>
      <c r="S4">
        <v>5</v>
      </c>
      <c r="T4">
        <v>9</v>
      </c>
      <c r="U4">
        <v>14</v>
      </c>
      <c r="V4">
        <v>26</v>
      </c>
      <c r="W4">
        <v>18</v>
      </c>
      <c r="X4">
        <v>13</v>
      </c>
      <c r="Y4">
        <v>1</v>
      </c>
      <c r="Z4">
        <v>17</v>
      </c>
      <c r="AA4">
        <v>14</v>
      </c>
      <c r="AB4">
        <v>37</v>
      </c>
      <c r="AC4">
        <v>844</v>
      </c>
      <c r="AD4">
        <v>11</v>
      </c>
      <c r="AE4">
        <v>14</v>
      </c>
      <c r="AF4">
        <v>6</v>
      </c>
      <c r="AG4">
        <v>419</v>
      </c>
      <c r="AH4">
        <v>29</v>
      </c>
      <c r="AI4">
        <v>27</v>
      </c>
      <c r="AJ4">
        <v>16</v>
      </c>
      <c r="AK4">
        <v>738</v>
      </c>
    </row>
    <row r="5" spans="1:37" x14ac:dyDescent="0.25">
      <c r="A5" s="1" t="s">
        <v>42</v>
      </c>
      <c r="B5" s="1" t="s">
        <v>43</v>
      </c>
      <c r="C5" s="1" t="s">
        <v>44</v>
      </c>
      <c r="D5">
        <v>20</v>
      </c>
      <c r="E5">
        <v>174</v>
      </c>
      <c r="F5" s="1" t="s">
        <v>45</v>
      </c>
      <c r="G5" s="1" t="s">
        <v>45</v>
      </c>
      <c r="H5">
        <v>1368</v>
      </c>
      <c r="I5">
        <f>((player_data_cleaning[[#This Row],[goal]]+ player_data_cleaning[[#This Row],[assistTotal]]) /player_data_cleaning[[#This Row],[Mins Played]])* 90</f>
        <v>0.6578947368421052</v>
      </c>
      <c r="J5">
        <f>player_data_cleaning[[#This Row],[interceptionPerGame]]+player_data_cleaning[[#This Row],[clearancePerGame]]</f>
        <v>15</v>
      </c>
      <c r="K5">
        <f>(player_data_cleaning[[#This Row],[dribbleWonPerGame]]*0.5) + (player_data_cleaning[[#This Row],[keyPassPerGame]]*0.5)</f>
        <v>10.5</v>
      </c>
      <c r="L5">
        <f t="shared" si="0"/>
        <v>0.68922305764411018</v>
      </c>
      <c r="M5">
        <f t="shared" si="1"/>
        <v>0.19718309859154928</v>
      </c>
      <c r="N5">
        <f>(player_data_cleaning[[#This Row],[BallProferssion&amp;Creativity]]- MIN(K5:K133) )/ (MAX(K5:K133) -MIN(K5:K133))</f>
        <v>0.53846153846153844</v>
      </c>
      <c r="O5">
        <v>8</v>
      </c>
      <c r="P5">
        <v>6</v>
      </c>
      <c r="Q5">
        <v>7</v>
      </c>
      <c r="R5">
        <v>8</v>
      </c>
      <c r="S5">
        <v>2</v>
      </c>
      <c r="T5">
        <v>8</v>
      </c>
      <c r="U5">
        <v>12</v>
      </c>
      <c r="V5">
        <v>14</v>
      </c>
      <c r="W5">
        <v>7</v>
      </c>
      <c r="X5">
        <v>13</v>
      </c>
      <c r="Y5">
        <v>1</v>
      </c>
      <c r="Z5">
        <v>8</v>
      </c>
      <c r="AA5">
        <v>9</v>
      </c>
      <c r="AB5">
        <v>589</v>
      </c>
      <c r="AC5">
        <v>913</v>
      </c>
      <c r="AD5">
        <v>2</v>
      </c>
      <c r="AE5">
        <v>26</v>
      </c>
      <c r="AF5">
        <v>3</v>
      </c>
      <c r="AG5">
        <v>247</v>
      </c>
      <c r="AH5">
        <v>16</v>
      </c>
      <c r="AI5">
        <v>23</v>
      </c>
      <c r="AJ5">
        <v>11</v>
      </c>
      <c r="AK5">
        <v>734</v>
      </c>
    </row>
    <row r="6" spans="1:37" x14ac:dyDescent="0.25">
      <c r="A6" s="1" t="s">
        <v>46</v>
      </c>
      <c r="B6" s="1" t="s">
        <v>47</v>
      </c>
      <c r="C6" s="1" t="s">
        <v>37</v>
      </c>
      <c r="D6">
        <v>20</v>
      </c>
      <c r="E6">
        <v>180</v>
      </c>
      <c r="F6" s="1" t="s">
        <v>45</v>
      </c>
      <c r="G6" s="1" t="s">
        <v>45</v>
      </c>
      <c r="H6">
        <v>1957</v>
      </c>
      <c r="I6">
        <f>((player_data_cleaning[[#This Row],[goal]]+ player_data_cleaning[[#This Row],[assistTotal]]) /player_data_cleaning[[#This Row],[Mins Played]])* 90</f>
        <v>0.36791006642820645</v>
      </c>
      <c r="J6">
        <f>player_data_cleaning[[#This Row],[interceptionPerGame]]+player_data_cleaning[[#This Row],[clearancePerGame]]</f>
        <v>28</v>
      </c>
      <c r="K6">
        <f>(player_data_cleaning[[#This Row],[dribbleWonPerGame]]*0.5) + (player_data_cleaning[[#This Row],[keyPassPerGame]]*0.5)</f>
        <v>7.5</v>
      </c>
      <c r="L6">
        <f t="shared" si="0"/>
        <v>0.38542959340097815</v>
      </c>
      <c r="M6">
        <f t="shared" si="1"/>
        <v>0.38028169014084506</v>
      </c>
      <c r="N6">
        <f>(player_data_cleaning[[#This Row],[BallProferssion&amp;Creativity]]- MIN(K6:K134) )/ (MAX(K6:K134) -MIN(K6:K134))</f>
        <v>0.38461538461538464</v>
      </c>
      <c r="O6">
        <v>9</v>
      </c>
      <c r="P6">
        <v>8</v>
      </c>
      <c r="Q6">
        <v>19</v>
      </c>
      <c r="R6">
        <v>12</v>
      </c>
      <c r="S6">
        <v>7</v>
      </c>
      <c r="T6">
        <v>1</v>
      </c>
      <c r="U6">
        <v>13</v>
      </c>
      <c r="V6">
        <v>9</v>
      </c>
      <c r="W6">
        <v>6</v>
      </c>
      <c r="X6">
        <v>2</v>
      </c>
      <c r="Y6">
        <v>0</v>
      </c>
      <c r="Z6">
        <v>4</v>
      </c>
      <c r="AA6">
        <v>15</v>
      </c>
      <c r="AB6">
        <v>475</v>
      </c>
      <c r="AC6">
        <v>879</v>
      </c>
      <c r="AD6">
        <v>0</v>
      </c>
      <c r="AE6">
        <v>16</v>
      </c>
      <c r="AF6">
        <v>2</v>
      </c>
      <c r="AG6">
        <v>358</v>
      </c>
      <c r="AH6">
        <v>16</v>
      </c>
      <c r="AI6">
        <v>29</v>
      </c>
      <c r="AJ6">
        <v>12</v>
      </c>
      <c r="AK6">
        <v>733</v>
      </c>
    </row>
    <row r="7" spans="1:37" x14ac:dyDescent="0.25">
      <c r="A7" s="1" t="s">
        <v>48</v>
      </c>
      <c r="B7" s="1" t="s">
        <v>49</v>
      </c>
      <c r="C7" s="1" t="s">
        <v>50</v>
      </c>
      <c r="D7">
        <v>21</v>
      </c>
      <c r="E7">
        <v>186</v>
      </c>
      <c r="F7" s="1" t="s">
        <v>51</v>
      </c>
      <c r="G7" s="1" t="s">
        <v>39</v>
      </c>
      <c r="H7">
        <v>1635</v>
      </c>
      <c r="I7">
        <f>((player_data_cleaning[[#This Row],[goal]]+ player_data_cleaning[[#This Row],[assistTotal]]) /player_data_cleaning[[#This Row],[Mins Played]])* 90</f>
        <v>0.71559633027522929</v>
      </c>
      <c r="J7">
        <f>player_data_cleaning[[#This Row],[interceptionPerGame]]+player_data_cleaning[[#This Row],[clearancePerGame]]</f>
        <v>15</v>
      </c>
      <c r="K7">
        <f>(player_data_cleaning[[#This Row],[dribbleWonPerGame]]*0.5) + (player_data_cleaning[[#This Row],[keyPassPerGame]]*0.5)</f>
        <v>13</v>
      </c>
      <c r="L7">
        <f t="shared" si="0"/>
        <v>0.74967234600262111</v>
      </c>
      <c r="M7">
        <f t="shared" si="1"/>
        <v>0.19718309859154928</v>
      </c>
      <c r="N7">
        <f>(player_data_cleaning[[#This Row],[BallProferssion&amp;Creativity]]- MIN(K7:K135) )/ (MAX(K7:K135) -MIN(K7:K135))</f>
        <v>0.66666666666666663</v>
      </c>
      <c r="O7">
        <v>9</v>
      </c>
      <c r="P7">
        <v>11</v>
      </c>
      <c r="Q7">
        <v>6</v>
      </c>
      <c r="R7">
        <v>5</v>
      </c>
      <c r="S7">
        <v>7</v>
      </c>
      <c r="T7">
        <v>6</v>
      </c>
      <c r="U7">
        <v>21</v>
      </c>
      <c r="V7">
        <v>13</v>
      </c>
      <c r="W7">
        <v>13</v>
      </c>
      <c r="X7">
        <v>22</v>
      </c>
      <c r="Y7">
        <v>2</v>
      </c>
      <c r="Z7">
        <v>11</v>
      </c>
      <c r="AA7">
        <v>17</v>
      </c>
      <c r="AB7">
        <v>52</v>
      </c>
      <c r="AC7">
        <v>88</v>
      </c>
      <c r="AD7">
        <v>0</v>
      </c>
      <c r="AE7">
        <v>22</v>
      </c>
      <c r="AF7">
        <v>2</v>
      </c>
      <c r="AG7">
        <v>804</v>
      </c>
      <c r="AH7">
        <v>44</v>
      </c>
      <c r="AI7">
        <v>41</v>
      </c>
      <c r="AJ7">
        <v>2</v>
      </c>
      <c r="AK7">
        <v>732</v>
      </c>
    </row>
    <row r="8" spans="1:37" x14ac:dyDescent="0.25">
      <c r="A8" s="1" t="s">
        <v>52</v>
      </c>
      <c r="B8" s="1" t="s">
        <v>53</v>
      </c>
      <c r="C8" s="1" t="s">
        <v>54</v>
      </c>
      <c r="D8">
        <v>21</v>
      </c>
      <c r="E8">
        <v>179</v>
      </c>
      <c r="F8" s="1" t="s">
        <v>38</v>
      </c>
      <c r="G8" s="1" t="s">
        <v>39</v>
      </c>
      <c r="H8">
        <v>1377</v>
      </c>
      <c r="I8">
        <f>((player_data_cleaning[[#This Row],[goal]]+ player_data_cleaning[[#This Row],[assistTotal]]) /player_data_cleaning[[#This Row],[Mins Played]])* 90</f>
        <v>0.65359477124183007</v>
      </c>
      <c r="J8">
        <f>player_data_cleaning[[#This Row],[interceptionPerGame]]+player_data_cleaning[[#This Row],[clearancePerGame]]</f>
        <v>12</v>
      </c>
      <c r="K8">
        <f>(player_data_cleaning[[#This Row],[dribbleWonPerGame]]*0.5) + (player_data_cleaning[[#This Row],[keyPassPerGame]]*0.5)</f>
        <v>18</v>
      </c>
      <c r="L8">
        <f t="shared" si="0"/>
        <v>0.68471833177715524</v>
      </c>
      <c r="M8">
        <f t="shared" si="1"/>
        <v>0.15492957746478872</v>
      </c>
      <c r="N8">
        <f>(player_data_cleaning[[#This Row],[BallProferssion&amp;Creativity]]- MIN(K8:K136) )/ (MAX(K8:K136) -MIN(K8:K136))</f>
        <v>0.92307692307692313</v>
      </c>
      <c r="O8">
        <v>5</v>
      </c>
      <c r="P8">
        <v>12</v>
      </c>
      <c r="Q8">
        <v>7</v>
      </c>
      <c r="R8">
        <v>4</v>
      </c>
      <c r="S8">
        <v>6</v>
      </c>
      <c r="T8">
        <v>4</v>
      </c>
      <c r="U8">
        <v>19</v>
      </c>
      <c r="V8">
        <v>22</v>
      </c>
      <c r="W8">
        <v>14</v>
      </c>
      <c r="X8">
        <v>24</v>
      </c>
      <c r="Y8">
        <v>3</v>
      </c>
      <c r="Z8">
        <v>23</v>
      </c>
      <c r="AA8">
        <v>31</v>
      </c>
      <c r="AB8">
        <v>441</v>
      </c>
      <c r="AC8">
        <v>84</v>
      </c>
      <c r="AD8">
        <v>9</v>
      </c>
      <c r="AE8">
        <v>16</v>
      </c>
      <c r="AF8">
        <v>6</v>
      </c>
      <c r="AG8">
        <v>425</v>
      </c>
      <c r="AH8">
        <v>28</v>
      </c>
      <c r="AI8">
        <v>30</v>
      </c>
      <c r="AJ8">
        <v>14</v>
      </c>
      <c r="AK8">
        <v>731</v>
      </c>
    </row>
    <row r="9" spans="1:37" x14ac:dyDescent="0.25">
      <c r="A9" s="1" t="s">
        <v>55</v>
      </c>
      <c r="B9" s="1" t="s">
        <v>56</v>
      </c>
      <c r="C9" s="1" t="s">
        <v>33</v>
      </c>
      <c r="D9">
        <v>19</v>
      </c>
      <c r="E9">
        <v>176</v>
      </c>
      <c r="F9" s="1" t="s">
        <v>57</v>
      </c>
      <c r="G9" s="1" t="s">
        <v>57</v>
      </c>
      <c r="H9">
        <v>1791</v>
      </c>
      <c r="I9">
        <f>((player_data_cleaning[[#This Row],[goal]]+ player_data_cleaning[[#This Row],[assistTotal]]) /player_data_cleaning[[#This Row],[Mins Played]])* 90</f>
        <v>0.30150753768844224</v>
      </c>
      <c r="J9">
        <f>player_data_cleaning[[#This Row],[interceptionPerGame]]+player_data_cleaning[[#This Row],[clearancePerGame]]</f>
        <v>16</v>
      </c>
      <c r="K9">
        <f>(player_data_cleaning[[#This Row],[dribbleWonPerGame]]*0.5) + (player_data_cleaning[[#This Row],[keyPassPerGame]]*0.5)</f>
        <v>13.5</v>
      </c>
      <c r="L9">
        <f t="shared" si="0"/>
        <v>0.31586503948312994</v>
      </c>
      <c r="M9">
        <f t="shared" si="1"/>
        <v>0.21126760563380281</v>
      </c>
      <c r="N9">
        <f>(player_data_cleaning[[#This Row],[BallProferssion&amp;Creativity]]- MIN(K9:K137) )/ (MAX(K9:K137) -MIN(K9:K137))</f>
        <v>0.69230769230769229</v>
      </c>
      <c r="O9">
        <v>1</v>
      </c>
      <c r="P9">
        <v>14</v>
      </c>
      <c r="Q9">
        <v>15</v>
      </c>
      <c r="R9">
        <v>14</v>
      </c>
      <c r="S9">
        <v>4</v>
      </c>
      <c r="T9">
        <v>2</v>
      </c>
      <c r="U9">
        <v>16</v>
      </c>
      <c r="V9">
        <v>19</v>
      </c>
      <c r="W9">
        <v>8</v>
      </c>
      <c r="X9">
        <v>12</v>
      </c>
      <c r="Y9">
        <v>0</v>
      </c>
      <c r="Z9">
        <v>13</v>
      </c>
      <c r="AA9">
        <v>13</v>
      </c>
      <c r="AB9">
        <v>445</v>
      </c>
      <c r="AC9">
        <v>831</v>
      </c>
      <c r="AD9">
        <v>16</v>
      </c>
      <c r="AE9">
        <v>19</v>
      </c>
      <c r="AF9">
        <v>1</v>
      </c>
      <c r="AG9">
        <v>151</v>
      </c>
      <c r="AH9">
        <v>8</v>
      </c>
      <c r="AI9">
        <v>36</v>
      </c>
      <c r="AJ9">
        <v>4</v>
      </c>
      <c r="AK9">
        <v>719</v>
      </c>
    </row>
    <row r="10" spans="1:37" x14ac:dyDescent="0.25">
      <c r="A10" s="1" t="s">
        <v>58</v>
      </c>
      <c r="B10" s="1" t="s">
        <v>32</v>
      </c>
      <c r="C10" s="1" t="s">
        <v>33</v>
      </c>
      <c r="D10">
        <v>18</v>
      </c>
      <c r="E10">
        <v>184</v>
      </c>
      <c r="F10" s="1" t="s">
        <v>59</v>
      </c>
      <c r="G10" s="1" t="s">
        <v>59</v>
      </c>
      <c r="H10">
        <v>2059</v>
      </c>
      <c r="I10">
        <f>((player_data_cleaning[[#This Row],[goal]]+ player_data_cleaning[[#This Row],[assistTotal]]) /player_data_cleaning[[#This Row],[Mins Played]])* 90</f>
        <v>0.13113161728994657</v>
      </c>
      <c r="J10">
        <f>player_data_cleaning[[#This Row],[interceptionPerGame]]+player_data_cleaning[[#This Row],[clearancePerGame]]</f>
        <v>30</v>
      </c>
      <c r="K10">
        <f>(player_data_cleaning[[#This Row],[dribbleWonPerGame]]*0.5) + (player_data_cleaning[[#This Row],[keyPassPerGame]]*0.5)</f>
        <v>2.5</v>
      </c>
      <c r="L10">
        <f t="shared" si="0"/>
        <v>0.13737598001803927</v>
      </c>
      <c r="M10">
        <f t="shared" si="1"/>
        <v>0.40845070422535212</v>
      </c>
      <c r="N10">
        <f>(player_data_cleaning[[#This Row],[BallProferssion&amp;Creativity]]- MIN(K10:K138) )/ (MAX(K10:K138) -MIN(K10:K138))</f>
        <v>0.12820512820512819</v>
      </c>
      <c r="O10">
        <v>4</v>
      </c>
      <c r="P10">
        <v>5</v>
      </c>
      <c r="Q10">
        <v>26</v>
      </c>
      <c r="R10">
        <v>3</v>
      </c>
      <c r="S10">
        <v>0</v>
      </c>
      <c r="T10">
        <v>3</v>
      </c>
      <c r="U10">
        <v>3</v>
      </c>
      <c r="V10">
        <v>3</v>
      </c>
      <c r="W10">
        <v>2</v>
      </c>
      <c r="X10">
        <v>3</v>
      </c>
      <c r="Y10">
        <v>0</v>
      </c>
      <c r="Z10">
        <v>0</v>
      </c>
      <c r="AA10">
        <v>2</v>
      </c>
      <c r="AB10">
        <v>812</v>
      </c>
      <c r="AC10">
        <v>931</v>
      </c>
      <c r="AD10">
        <v>0</v>
      </c>
      <c r="AE10">
        <v>32</v>
      </c>
      <c r="AF10">
        <v>1</v>
      </c>
      <c r="AG10">
        <v>93</v>
      </c>
      <c r="AH10">
        <v>4</v>
      </c>
      <c r="AI10">
        <v>7</v>
      </c>
      <c r="AJ10">
        <v>13</v>
      </c>
      <c r="AK10">
        <v>685</v>
      </c>
    </row>
    <row r="11" spans="1:37" x14ac:dyDescent="0.25">
      <c r="A11" s="1" t="s">
        <v>60</v>
      </c>
      <c r="B11" s="1" t="s">
        <v>61</v>
      </c>
      <c r="C11" s="1" t="s">
        <v>44</v>
      </c>
      <c r="D11">
        <v>20</v>
      </c>
      <c r="E11">
        <v>186</v>
      </c>
      <c r="F11" s="1" t="s">
        <v>62</v>
      </c>
      <c r="G11" s="1" t="s">
        <v>62</v>
      </c>
      <c r="H11">
        <v>1902</v>
      </c>
      <c r="I11">
        <f>((player_data_cleaning[[#This Row],[goal]]+ player_data_cleaning[[#This Row],[assistTotal]]) /player_data_cleaning[[#This Row],[Mins Played]])* 90</f>
        <v>0.47318611987381703</v>
      </c>
      <c r="J11">
        <f>player_data_cleaning[[#This Row],[interceptionPerGame]]+player_data_cleaning[[#This Row],[clearancePerGame]]</f>
        <v>11</v>
      </c>
      <c r="K11">
        <f>(player_data_cleaning[[#This Row],[dribbleWonPerGame]]*0.5) + (player_data_cleaning[[#This Row],[keyPassPerGame]]*0.5)</f>
        <v>19.5</v>
      </c>
      <c r="L11">
        <f t="shared" si="0"/>
        <v>0.4957187922487607</v>
      </c>
      <c r="M11">
        <f t="shared" si="1"/>
        <v>0.14084507042253522</v>
      </c>
      <c r="N11">
        <f>(player_data_cleaning[[#This Row],[BallProferssion&amp;Creativity]]- MIN(K11:K139) )/ (MAX(K11:K139) -MIN(K11:K139))</f>
        <v>1</v>
      </c>
      <c r="O11">
        <v>7</v>
      </c>
      <c r="P11">
        <v>13</v>
      </c>
      <c r="Q11">
        <v>4</v>
      </c>
      <c r="R11">
        <v>7</v>
      </c>
      <c r="S11">
        <v>6</v>
      </c>
      <c r="T11">
        <v>4</v>
      </c>
      <c r="U11">
        <v>32</v>
      </c>
      <c r="V11">
        <v>17</v>
      </c>
      <c r="W11">
        <v>22</v>
      </c>
      <c r="X11">
        <v>1</v>
      </c>
      <c r="Y11">
        <v>1</v>
      </c>
      <c r="Z11">
        <v>12</v>
      </c>
      <c r="AA11">
        <v>32</v>
      </c>
      <c r="AB11">
        <v>316</v>
      </c>
      <c r="AC11">
        <v>83</v>
      </c>
      <c r="AD11">
        <v>4</v>
      </c>
      <c r="AE11">
        <v>6</v>
      </c>
      <c r="AF11">
        <v>1</v>
      </c>
      <c r="AG11">
        <v>751</v>
      </c>
      <c r="AH11">
        <v>36</v>
      </c>
      <c r="AI11">
        <v>80</v>
      </c>
      <c r="AJ11">
        <v>9</v>
      </c>
      <c r="AK11">
        <v>718</v>
      </c>
    </row>
    <row r="12" spans="1:37" x14ac:dyDescent="0.25">
      <c r="A12" s="1" t="s">
        <v>63</v>
      </c>
      <c r="B12" s="1" t="s">
        <v>43</v>
      </c>
      <c r="C12" s="1" t="s">
        <v>44</v>
      </c>
      <c r="D12">
        <v>18</v>
      </c>
      <c r="E12">
        <v>178</v>
      </c>
      <c r="F12" s="1" t="s">
        <v>64</v>
      </c>
      <c r="G12" s="1" t="s">
        <v>65</v>
      </c>
      <c r="H12">
        <v>1359</v>
      </c>
      <c r="I12">
        <f>((player_data_cleaning[[#This Row],[goal]]+ player_data_cleaning[[#This Row],[assistTotal]]) /player_data_cleaning[[#This Row],[Mins Played]])* 90</f>
        <v>0.13245033112582782</v>
      </c>
      <c r="J12">
        <f>player_data_cleaning[[#This Row],[interceptionPerGame]]+player_data_cleaning[[#This Row],[clearancePerGame]]</f>
        <v>16</v>
      </c>
      <c r="K12">
        <f>(player_data_cleaning[[#This Row],[dribbleWonPerGame]]*0.5) + (player_data_cleaning[[#This Row],[keyPassPerGame]]*0.5)</f>
        <v>6.5</v>
      </c>
      <c r="L12">
        <f t="shared" si="0"/>
        <v>0.13875748975086724</v>
      </c>
      <c r="M12">
        <f t="shared" si="1"/>
        <v>0.21126760563380281</v>
      </c>
      <c r="N12">
        <f>(player_data_cleaning[[#This Row],[BallProferssion&amp;Creativity]]- MIN(K12:K140) )/ (MAX(K12:K140) -MIN(K12:K140))</f>
        <v>0.41935483870967744</v>
      </c>
      <c r="O12">
        <v>9</v>
      </c>
      <c r="P12">
        <v>8</v>
      </c>
      <c r="Q12">
        <v>7</v>
      </c>
      <c r="R12">
        <v>8</v>
      </c>
      <c r="S12">
        <v>1</v>
      </c>
      <c r="T12">
        <v>1</v>
      </c>
      <c r="U12">
        <v>6</v>
      </c>
      <c r="V12">
        <v>6</v>
      </c>
      <c r="W12">
        <v>7</v>
      </c>
      <c r="X12">
        <v>7</v>
      </c>
      <c r="Y12">
        <v>1</v>
      </c>
      <c r="Z12">
        <v>9</v>
      </c>
      <c r="AA12">
        <v>12</v>
      </c>
      <c r="AB12">
        <v>557</v>
      </c>
      <c r="AC12">
        <v>926</v>
      </c>
      <c r="AD12">
        <v>0</v>
      </c>
      <c r="AE12">
        <v>13</v>
      </c>
      <c r="AF12">
        <v>0</v>
      </c>
      <c r="AG12">
        <v>9</v>
      </c>
      <c r="AH12">
        <v>6</v>
      </c>
      <c r="AI12">
        <v>11</v>
      </c>
      <c r="AJ12">
        <v>8</v>
      </c>
      <c r="AK12">
        <v>681</v>
      </c>
    </row>
    <row r="13" spans="1:37" x14ac:dyDescent="0.25">
      <c r="A13" s="1" t="s">
        <v>66</v>
      </c>
      <c r="B13" s="1" t="s">
        <v>43</v>
      </c>
      <c r="C13" s="1" t="s">
        <v>44</v>
      </c>
      <c r="D13">
        <v>19</v>
      </c>
      <c r="E13">
        <v>181</v>
      </c>
      <c r="F13" s="1" t="s">
        <v>38</v>
      </c>
      <c r="G13" s="1" t="s">
        <v>38</v>
      </c>
      <c r="H13">
        <v>1113</v>
      </c>
      <c r="I13">
        <f>((player_data_cleaning[[#This Row],[goal]]+ player_data_cleaning[[#This Row],[assistTotal]]) /player_data_cleaning[[#This Row],[Mins Played]])* 90</f>
        <v>0.56603773584905659</v>
      </c>
      <c r="J13">
        <f>player_data_cleaning[[#This Row],[interceptionPerGame]]+player_data_cleaning[[#This Row],[clearancePerGame]]</f>
        <v>7</v>
      </c>
      <c r="K13">
        <f>(player_data_cleaning[[#This Row],[dribbleWonPerGame]]*0.5) + (player_data_cleaning[[#This Row],[keyPassPerGame]]*0.5)</f>
        <v>15.5</v>
      </c>
      <c r="L13">
        <f t="shared" si="0"/>
        <v>0.59299191374663074</v>
      </c>
      <c r="M13">
        <f t="shared" si="1"/>
        <v>8.4507042253521125E-2</v>
      </c>
      <c r="N13">
        <f>(player_data_cleaning[[#This Row],[BallProferssion&amp;Creativity]]- MIN(K13:K141) )/ (MAX(K13:K141) -MIN(K13:K141))</f>
        <v>1</v>
      </c>
      <c r="O13">
        <v>4</v>
      </c>
      <c r="P13">
        <v>9</v>
      </c>
      <c r="Q13">
        <v>3</v>
      </c>
      <c r="R13">
        <v>6</v>
      </c>
      <c r="S13">
        <v>2</v>
      </c>
      <c r="T13">
        <v>5</v>
      </c>
      <c r="U13">
        <v>18</v>
      </c>
      <c r="V13">
        <v>15</v>
      </c>
      <c r="W13">
        <v>16</v>
      </c>
      <c r="X13">
        <v>13</v>
      </c>
      <c r="Y13">
        <v>0</v>
      </c>
      <c r="Z13">
        <v>11</v>
      </c>
      <c r="AA13">
        <v>18</v>
      </c>
      <c r="AB13">
        <v>299</v>
      </c>
      <c r="AC13">
        <v>855</v>
      </c>
      <c r="AD13">
        <v>5</v>
      </c>
      <c r="AE13">
        <v>6</v>
      </c>
      <c r="AF13">
        <v>2</v>
      </c>
      <c r="AG13">
        <v>332</v>
      </c>
      <c r="AH13">
        <v>27</v>
      </c>
      <c r="AI13">
        <v>38</v>
      </c>
      <c r="AJ13">
        <v>9</v>
      </c>
      <c r="AK13">
        <v>704</v>
      </c>
    </row>
    <row r="14" spans="1:37" x14ac:dyDescent="0.25">
      <c r="A14" s="1" t="s">
        <v>67</v>
      </c>
      <c r="B14" s="1" t="s">
        <v>68</v>
      </c>
      <c r="C14" s="1" t="s">
        <v>37</v>
      </c>
      <c r="D14">
        <v>21</v>
      </c>
      <c r="E14">
        <v>180</v>
      </c>
      <c r="F14" s="1" t="s">
        <v>69</v>
      </c>
      <c r="G14" s="1" t="s">
        <v>70</v>
      </c>
      <c r="H14">
        <v>1120</v>
      </c>
      <c r="I14">
        <f>((player_data_cleaning[[#This Row],[goal]]+ player_data_cleaning[[#This Row],[assistTotal]]) /player_data_cleaning[[#This Row],[Mins Played]])* 90</f>
        <v>0.5625</v>
      </c>
      <c r="J14">
        <f>player_data_cleaning[[#This Row],[interceptionPerGame]]+player_data_cleaning[[#This Row],[clearancePerGame]]</f>
        <v>8</v>
      </c>
      <c r="K14">
        <f>(player_data_cleaning[[#This Row],[dribbleWonPerGame]]*0.5) + (player_data_cleaning[[#This Row],[keyPassPerGame]]*0.5)</f>
        <v>9</v>
      </c>
      <c r="L14">
        <f t="shared" si="0"/>
        <v>0.5892857142857143</v>
      </c>
      <c r="M14">
        <f t="shared" si="1"/>
        <v>9.8591549295774641E-2</v>
      </c>
      <c r="N14">
        <f>(player_data_cleaning[[#This Row],[BallProferssion&amp;Creativity]]- MIN(K14:K142) )/ (MAX(K14:K142) -MIN(K14:K142))</f>
        <v>0.58064516129032262</v>
      </c>
      <c r="O14">
        <v>6</v>
      </c>
      <c r="P14">
        <v>4</v>
      </c>
      <c r="Q14">
        <v>2</v>
      </c>
      <c r="R14">
        <v>3</v>
      </c>
      <c r="S14">
        <v>3</v>
      </c>
      <c r="T14">
        <v>4</v>
      </c>
      <c r="U14">
        <v>7</v>
      </c>
      <c r="V14">
        <v>14</v>
      </c>
      <c r="W14">
        <v>4</v>
      </c>
      <c r="X14">
        <v>1</v>
      </c>
      <c r="Y14">
        <v>0</v>
      </c>
      <c r="Z14">
        <v>4</v>
      </c>
      <c r="AA14">
        <v>9</v>
      </c>
      <c r="AB14">
        <v>267</v>
      </c>
      <c r="AC14">
        <v>841</v>
      </c>
      <c r="AD14">
        <v>9</v>
      </c>
      <c r="AE14">
        <v>9</v>
      </c>
      <c r="AF14">
        <v>1</v>
      </c>
      <c r="AG14">
        <v>216</v>
      </c>
      <c r="AH14">
        <v>17</v>
      </c>
      <c r="AI14">
        <v>11</v>
      </c>
      <c r="AJ14">
        <v>2</v>
      </c>
      <c r="AK14">
        <v>716</v>
      </c>
    </row>
    <row r="15" spans="1:37" x14ac:dyDescent="0.25">
      <c r="A15" s="1" t="s">
        <v>71</v>
      </c>
      <c r="B15" s="1" t="s">
        <v>72</v>
      </c>
      <c r="C15" s="1" t="s">
        <v>33</v>
      </c>
      <c r="D15">
        <v>19</v>
      </c>
      <c r="E15">
        <v>187</v>
      </c>
      <c r="F15" s="1" t="s">
        <v>73</v>
      </c>
      <c r="G15" s="1" t="s">
        <v>39</v>
      </c>
      <c r="H15">
        <v>1754</v>
      </c>
      <c r="I15">
        <f>((player_data_cleaning[[#This Row],[goal]]+ player_data_cleaning[[#This Row],[assistTotal]]) /player_data_cleaning[[#This Row],[Mins Played]])* 90</f>
        <v>0.30786773090079816</v>
      </c>
      <c r="J15">
        <f>player_data_cleaning[[#This Row],[interceptionPerGame]]+player_data_cleaning[[#This Row],[clearancePerGame]]</f>
        <v>5</v>
      </c>
      <c r="K15">
        <f>(player_data_cleaning[[#This Row],[dribbleWonPerGame]]*0.5) + (player_data_cleaning[[#This Row],[keyPassPerGame]]*0.5)</f>
        <v>14.5</v>
      </c>
      <c r="L15">
        <f t="shared" si="0"/>
        <v>0.32252809903893137</v>
      </c>
      <c r="M15">
        <f t="shared" si="1"/>
        <v>5.6338028169014086E-2</v>
      </c>
      <c r="N15">
        <f>(player_data_cleaning[[#This Row],[BallProferssion&amp;Creativity]]- MIN(K15:K143) )/ (MAX(K15:K143) -MIN(K15:K143))</f>
        <v>0.93548387096774188</v>
      </c>
      <c r="O15">
        <v>2</v>
      </c>
      <c r="P15">
        <v>6</v>
      </c>
      <c r="Q15">
        <v>3</v>
      </c>
      <c r="R15">
        <v>3</v>
      </c>
      <c r="S15">
        <v>4</v>
      </c>
      <c r="T15">
        <v>2</v>
      </c>
      <c r="U15">
        <v>17</v>
      </c>
      <c r="V15">
        <v>13</v>
      </c>
      <c r="W15">
        <v>16</v>
      </c>
      <c r="X15">
        <v>15</v>
      </c>
      <c r="Y15">
        <v>1</v>
      </c>
      <c r="Z15">
        <v>1</v>
      </c>
      <c r="AA15">
        <v>23</v>
      </c>
      <c r="AB15">
        <v>249</v>
      </c>
      <c r="AC15">
        <v>859</v>
      </c>
      <c r="AD15">
        <v>7</v>
      </c>
      <c r="AE15">
        <v>8</v>
      </c>
      <c r="AF15">
        <v>1</v>
      </c>
      <c r="AG15">
        <v>421</v>
      </c>
      <c r="AH15">
        <v>22</v>
      </c>
      <c r="AI15">
        <v>44</v>
      </c>
      <c r="AJ15">
        <v>1</v>
      </c>
      <c r="AK15">
        <v>697</v>
      </c>
    </row>
    <row r="16" spans="1:37" x14ac:dyDescent="0.25">
      <c r="A16" s="1" t="s">
        <v>74</v>
      </c>
      <c r="B16" s="1" t="s">
        <v>75</v>
      </c>
      <c r="C16" s="1" t="s">
        <v>33</v>
      </c>
      <c r="D16">
        <v>19</v>
      </c>
      <c r="E16">
        <v>178</v>
      </c>
      <c r="F16" s="1" t="s">
        <v>45</v>
      </c>
      <c r="G16" s="1" t="s">
        <v>45</v>
      </c>
      <c r="H16">
        <v>1266</v>
      </c>
      <c r="I16">
        <f>((player_data_cleaning[[#This Row],[goal]]+ player_data_cleaning[[#This Row],[assistTotal]]) /player_data_cleaning[[#This Row],[Mins Played]])* 90</f>
        <v>7.1090047393364927E-2</v>
      </c>
      <c r="J16">
        <f>player_data_cleaning[[#This Row],[interceptionPerGame]]+player_data_cleaning[[#This Row],[clearancePerGame]]</f>
        <v>32</v>
      </c>
      <c r="K16">
        <f>(player_data_cleaning[[#This Row],[dribbleWonPerGame]]*0.5) + (player_data_cleaning[[#This Row],[keyPassPerGame]]*0.5)</f>
        <v>6</v>
      </c>
      <c r="L16">
        <f t="shared" si="0"/>
        <v>7.4475287745429927E-2</v>
      </c>
      <c r="M16">
        <f t="shared" si="1"/>
        <v>0.43661971830985913</v>
      </c>
      <c r="N16">
        <f>(player_data_cleaning[[#This Row],[BallProferssion&amp;Creativity]]- MIN(K16:K144) )/ (MAX(K16:K144) -MIN(K16:K144))</f>
        <v>0.38709677419354838</v>
      </c>
      <c r="O16">
        <v>16</v>
      </c>
      <c r="P16">
        <v>14</v>
      </c>
      <c r="Q16">
        <v>16</v>
      </c>
      <c r="R16">
        <v>9</v>
      </c>
      <c r="S16">
        <v>1</v>
      </c>
      <c r="T16">
        <v>0</v>
      </c>
      <c r="U16">
        <v>9</v>
      </c>
      <c r="V16">
        <v>6</v>
      </c>
      <c r="W16">
        <v>6</v>
      </c>
      <c r="X16">
        <v>14</v>
      </c>
      <c r="Y16">
        <v>0</v>
      </c>
      <c r="Z16">
        <v>1</v>
      </c>
      <c r="AA16">
        <v>15</v>
      </c>
      <c r="AB16">
        <v>405</v>
      </c>
      <c r="AC16">
        <v>86</v>
      </c>
      <c r="AD16">
        <v>0</v>
      </c>
      <c r="AE16">
        <v>2</v>
      </c>
      <c r="AF16">
        <v>2</v>
      </c>
      <c r="AG16">
        <v>49</v>
      </c>
      <c r="AH16">
        <v>3</v>
      </c>
      <c r="AI16">
        <v>15</v>
      </c>
      <c r="AJ16">
        <v>3</v>
      </c>
      <c r="AK16">
        <v>664</v>
      </c>
    </row>
    <row r="17" spans="1:37" x14ac:dyDescent="0.25">
      <c r="A17" s="1" t="s">
        <v>76</v>
      </c>
      <c r="B17" s="1" t="s">
        <v>77</v>
      </c>
      <c r="C17" s="1" t="s">
        <v>44</v>
      </c>
      <c r="D17">
        <v>19</v>
      </c>
      <c r="E17">
        <v>175</v>
      </c>
      <c r="F17" s="1" t="s">
        <v>45</v>
      </c>
      <c r="G17" s="1" t="s">
        <v>45</v>
      </c>
      <c r="H17">
        <v>644</v>
      </c>
      <c r="I17">
        <f>((player_data_cleaning[[#This Row],[goal]]+ player_data_cleaning[[#This Row],[assistTotal]]) /player_data_cleaning[[#This Row],[Mins Played]])* 90</f>
        <v>0</v>
      </c>
      <c r="J17">
        <f>player_data_cleaning[[#This Row],[interceptionPerGame]]+player_data_cleaning[[#This Row],[clearancePerGame]]</f>
        <v>14</v>
      </c>
      <c r="K17">
        <f>(player_data_cleaning[[#This Row],[dribbleWonPerGame]]*0.5) + (player_data_cleaning[[#This Row],[keyPassPerGame]]*0.5)</f>
        <v>4.5</v>
      </c>
      <c r="L17">
        <f t="shared" si="0"/>
        <v>0</v>
      </c>
      <c r="M17">
        <f t="shared" si="1"/>
        <v>0.18309859154929578</v>
      </c>
      <c r="N17">
        <f>(player_data_cleaning[[#This Row],[BallProferssion&amp;Creativity]]- MIN(K17:K145) )/ (MAX(K17:K145) -MIN(K17:K145))</f>
        <v>0.29032258064516131</v>
      </c>
      <c r="O17">
        <v>6</v>
      </c>
      <c r="P17">
        <v>7</v>
      </c>
      <c r="Q17">
        <v>8</v>
      </c>
      <c r="R17">
        <v>4</v>
      </c>
      <c r="S17">
        <v>0</v>
      </c>
      <c r="T17">
        <v>0</v>
      </c>
      <c r="U17">
        <v>4</v>
      </c>
      <c r="V17">
        <v>1</v>
      </c>
      <c r="W17">
        <v>8</v>
      </c>
      <c r="X17">
        <v>21</v>
      </c>
      <c r="Y17">
        <v>0</v>
      </c>
      <c r="Z17">
        <v>5</v>
      </c>
      <c r="AA17">
        <v>7</v>
      </c>
      <c r="AB17">
        <v>241</v>
      </c>
      <c r="AC17">
        <v>893</v>
      </c>
      <c r="AD17">
        <v>0</v>
      </c>
      <c r="AE17">
        <v>15</v>
      </c>
      <c r="AF17">
        <v>0</v>
      </c>
      <c r="AG17">
        <v>15</v>
      </c>
      <c r="AH17">
        <v>2</v>
      </c>
      <c r="AI17">
        <v>6</v>
      </c>
      <c r="AJ17">
        <v>3</v>
      </c>
      <c r="AK17">
        <v>657</v>
      </c>
    </row>
    <row r="18" spans="1:37" x14ac:dyDescent="0.25">
      <c r="A18" s="1" t="s">
        <v>78</v>
      </c>
      <c r="B18" s="1" t="s">
        <v>77</v>
      </c>
      <c r="C18" s="1" t="s">
        <v>44</v>
      </c>
      <c r="D18">
        <v>19</v>
      </c>
      <c r="E18">
        <v>176</v>
      </c>
      <c r="F18" s="1" t="s">
        <v>45</v>
      </c>
      <c r="G18" s="1" t="s">
        <v>45</v>
      </c>
      <c r="H18">
        <v>1969</v>
      </c>
      <c r="I18">
        <f>((player_data_cleaning[[#This Row],[goal]]+ player_data_cleaning[[#This Row],[assistTotal]]) /player_data_cleaning[[#This Row],[Mins Played]])* 90</f>
        <v>0</v>
      </c>
      <c r="J18">
        <f>player_data_cleaning[[#This Row],[interceptionPerGame]]+player_data_cleaning[[#This Row],[clearancePerGame]]</f>
        <v>26</v>
      </c>
      <c r="K18">
        <f>(player_data_cleaning[[#This Row],[dribbleWonPerGame]]*0.5) + (player_data_cleaning[[#This Row],[keyPassPerGame]]*0.5)</f>
        <v>4.5</v>
      </c>
      <c r="L18">
        <f t="shared" si="0"/>
        <v>0</v>
      </c>
      <c r="M18">
        <f t="shared" si="1"/>
        <v>0.352112676056338</v>
      </c>
      <c r="N18">
        <f>(player_data_cleaning[[#This Row],[BallProferssion&amp;Creativity]]- MIN(K18:K146) )/ (MAX(K18:K146) -MIN(K18:K146))</f>
        <v>0.29032258064516131</v>
      </c>
      <c r="O18">
        <v>12</v>
      </c>
      <c r="P18">
        <v>15</v>
      </c>
      <c r="Q18">
        <v>14</v>
      </c>
      <c r="R18">
        <v>3</v>
      </c>
      <c r="S18">
        <v>0</v>
      </c>
      <c r="T18">
        <v>0</v>
      </c>
      <c r="U18">
        <v>8</v>
      </c>
      <c r="V18">
        <v>4</v>
      </c>
      <c r="W18">
        <v>5</v>
      </c>
      <c r="X18">
        <v>14</v>
      </c>
      <c r="Y18">
        <v>2</v>
      </c>
      <c r="Z18">
        <v>7</v>
      </c>
      <c r="AA18">
        <v>17</v>
      </c>
      <c r="AB18">
        <v>317</v>
      </c>
      <c r="AC18">
        <v>889</v>
      </c>
      <c r="AD18">
        <v>0</v>
      </c>
      <c r="AE18">
        <v>7</v>
      </c>
      <c r="AF18">
        <v>0</v>
      </c>
      <c r="AG18">
        <v>119</v>
      </c>
      <c r="AH18">
        <v>5</v>
      </c>
      <c r="AI18">
        <v>19</v>
      </c>
      <c r="AJ18">
        <v>6</v>
      </c>
      <c r="AK18">
        <v>657</v>
      </c>
    </row>
    <row r="19" spans="1:37" x14ac:dyDescent="0.25">
      <c r="A19" s="1" t="s">
        <v>79</v>
      </c>
      <c r="B19" s="1" t="s">
        <v>80</v>
      </c>
      <c r="C19" s="1" t="s">
        <v>50</v>
      </c>
      <c r="D19">
        <v>19</v>
      </c>
      <c r="E19">
        <v>189</v>
      </c>
      <c r="F19" s="1" t="s">
        <v>81</v>
      </c>
      <c r="G19" s="1" t="s">
        <v>81</v>
      </c>
      <c r="H19">
        <v>801</v>
      </c>
      <c r="I19">
        <f>((player_data_cleaning[[#This Row],[goal]]+ player_data_cleaning[[#This Row],[assistTotal]]) /player_data_cleaning[[#This Row],[Mins Played]])* 90</f>
        <v>0.2247191011235955</v>
      </c>
      <c r="J19">
        <f>player_data_cleaning[[#This Row],[interceptionPerGame]]+player_data_cleaning[[#This Row],[clearancePerGame]]</f>
        <v>18</v>
      </c>
      <c r="K19">
        <f>(player_data_cleaning[[#This Row],[dribbleWonPerGame]]*0.5) + (player_data_cleaning[[#This Row],[keyPassPerGame]]*0.5)</f>
        <v>3.5</v>
      </c>
      <c r="L19">
        <f t="shared" si="0"/>
        <v>0.23542001070090957</v>
      </c>
      <c r="M19">
        <f t="shared" si="1"/>
        <v>0.23943661971830985</v>
      </c>
      <c r="N19">
        <f>(player_data_cleaning[[#This Row],[BallProferssion&amp;Creativity]]- MIN(K19:K147) )/ (MAX(K19:K147) -MIN(K19:K147))</f>
        <v>0.22580645161290322</v>
      </c>
      <c r="O19">
        <v>6</v>
      </c>
      <c r="P19">
        <v>5</v>
      </c>
      <c r="Q19">
        <v>12</v>
      </c>
      <c r="R19">
        <v>7</v>
      </c>
      <c r="S19">
        <v>1</v>
      </c>
      <c r="T19">
        <v>1</v>
      </c>
      <c r="U19">
        <v>4</v>
      </c>
      <c r="V19">
        <v>7</v>
      </c>
      <c r="W19">
        <v>0</v>
      </c>
      <c r="X19">
        <v>5</v>
      </c>
      <c r="Y19">
        <v>0</v>
      </c>
      <c r="Z19">
        <v>3</v>
      </c>
      <c r="AA19">
        <v>8</v>
      </c>
      <c r="AB19">
        <v>194</v>
      </c>
      <c r="AC19">
        <v>79</v>
      </c>
      <c r="AD19">
        <v>1</v>
      </c>
      <c r="AE19">
        <v>5</v>
      </c>
      <c r="AF19">
        <v>1</v>
      </c>
      <c r="AG19">
        <v>45</v>
      </c>
      <c r="AH19">
        <v>5</v>
      </c>
      <c r="AI19">
        <v>5</v>
      </c>
      <c r="AJ19">
        <v>9</v>
      </c>
      <c r="AK19">
        <v>650</v>
      </c>
    </row>
    <row r="20" spans="1:37" x14ac:dyDescent="0.25">
      <c r="A20" s="1" t="s">
        <v>82</v>
      </c>
      <c r="B20" s="1" t="s">
        <v>49</v>
      </c>
      <c r="C20" s="1" t="s">
        <v>50</v>
      </c>
      <c r="D20">
        <v>20</v>
      </c>
      <c r="E20">
        <v>175</v>
      </c>
      <c r="F20" s="1" t="s">
        <v>83</v>
      </c>
      <c r="G20" s="1" t="s">
        <v>83</v>
      </c>
      <c r="H20">
        <v>637</v>
      </c>
      <c r="I20">
        <f>((player_data_cleaning[[#This Row],[goal]]+ player_data_cleaning[[#This Row],[assistTotal]]) /player_data_cleaning[[#This Row],[Mins Played]])* 90</f>
        <v>0.56514913657770804</v>
      </c>
      <c r="J20">
        <f>player_data_cleaning[[#This Row],[interceptionPerGame]]+player_data_cleaning[[#This Row],[clearancePerGame]]</f>
        <v>6</v>
      </c>
      <c r="K20">
        <f>(player_data_cleaning[[#This Row],[dribbleWonPerGame]]*0.5) + (player_data_cleaning[[#This Row],[keyPassPerGame]]*0.5)</f>
        <v>8.5</v>
      </c>
      <c r="L20">
        <f t="shared" si="0"/>
        <v>0.59206100022426555</v>
      </c>
      <c r="M20">
        <f t="shared" si="1"/>
        <v>7.0422535211267609E-2</v>
      </c>
      <c r="N20">
        <f>(player_data_cleaning[[#This Row],[BallProferssion&amp;Creativity]]- MIN(K20:K148) )/ (MAX(K20:K148) -MIN(K20:K148))</f>
        <v>0.54838709677419351</v>
      </c>
      <c r="O20">
        <v>2</v>
      </c>
      <c r="P20">
        <v>6</v>
      </c>
      <c r="Q20">
        <v>4</v>
      </c>
      <c r="R20">
        <v>4</v>
      </c>
      <c r="S20">
        <v>1</v>
      </c>
      <c r="T20">
        <v>3</v>
      </c>
      <c r="U20">
        <v>12</v>
      </c>
      <c r="V20">
        <v>11</v>
      </c>
      <c r="W20">
        <v>6</v>
      </c>
      <c r="X20">
        <v>12</v>
      </c>
      <c r="Y20">
        <v>2</v>
      </c>
      <c r="Z20">
        <v>4</v>
      </c>
      <c r="AA20">
        <v>7</v>
      </c>
      <c r="AB20">
        <v>221</v>
      </c>
      <c r="AC20">
        <v>891</v>
      </c>
      <c r="AD20">
        <v>3</v>
      </c>
      <c r="AE20">
        <v>12</v>
      </c>
      <c r="AF20">
        <v>1</v>
      </c>
      <c r="AG20">
        <v>197</v>
      </c>
      <c r="AH20">
        <v>28</v>
      </c>
      <c r="AI20">
        <v>21</v>
      </c>
      <c r="AJ20">
        <v>9</v>
      </c>
      <c r="AK20">
        <v>668</v>
      </c>
    </row>
    <row r="21" spans="1:37" x14ac:dyDescent="0.25">
      <c r="A21" s="1" t="s">
        <v>84</v>
      </c>
      <c r="B21" s="1" t="s">
        <v>85</v>
      </c>
      <c r="C21" s="1" t="s">
        <v>86</v>
      </c>
      <c r="D21">
        <v>20</v>
      </c>
      <c r="E21">
        <v>172</v>
      </c>
      <c r="F21" s="1" t="s">
        <v>81</v>
      </c>
      <c r="G21" s="1" t="s">
        <v>81</v>
      </c>
      <c r="H21">
        <v>1107</v>
      </c>
      <c r="I21">
        <f>((player_data_cleaning[[#This Row],[goal]]+ player_data_cleaning[[#This Row],[assistTotal]]) /player_data_cleaning[[#This Row],[Mins Played]])* 90</f>
        <v>0</v>
      </c>
      <c r="J21">
        <f>player_data_cleaning[[#This Row],[interceptionPerGame]]+player_data_cleaning[[#This Row],[clearancePerGame]]</f>
        <v>16</v>
      </c>
      <c r="K21">
        <f>(player_data_cleaning[[#This Row],[dribbleWonPerGame]]*0.5) + (player_data_cleaning[[#This Row],[keyPassPerGame]]*0.5)</f>
        <v>9.5</v>
      </c>
      <c r="L21">
        <f t="shared" si="0"/>
        <v>0</v>
      </c>
      <c r="M21">
        <f t="shared" si="1"/>
        <v>0.21126760563380281</v>
      </c>
      <c r="N21">
        <f>(player_data_cleaning[[#This Row],[BallProferssion&amp;Creativity]]- MIN(K21:K149) )/ (MAX(K21:K149) -MIN(K21:K149))</f>
        <v>0.61290322580645162</v>
      </c>
      <c r="O21">
        <v>8</v>
      </c>
      <c r="P21">
        <v>9</v>
      </c>
      <c r="Q21">
        <v>8</v>
      </c>
      <c r="R21">
        <v>11</v>
      </c>
      <c r="S21">
        <v>0</v>
      </c>
      <c r="T21">
        <v>0</v>
      </c>
      <c r="U21">
        <v>7</v>
      </c>
      <c r="V21">
        <v>11</v>
      </c>
      <c r="W21">
        <v>8</v>
      </c>
      <c r="X21">
        <v>7</v>
      </c>
      <c r="Y21">
        <v>1</v>
      </c>
      <c r="Z21">
        <v>11</v>
      </c>
      <c r="AA21">
        <v>1</v>
      </c>
      <c r="AB21">
        <v>295</v>
      </c>
      <c r="AC21">
        <v>827</v>
      </c>
      <c r="AD21">
        <v>1</v>
      </c>
      <c r="AE21">
        <v>19</v>
      </c>
      <c r="AF21">
        <v>2</v>
      </c>
      <c r="AG21">
        <v>78</v>
      </c>
      <c r="AH21">
        <v>6</v>
      </c>
      <c r="AI21">
        <v>12</v>
      </c>
      <c r="AJ21">
        <v>7</v>
      </c>
      <c r="AK21">
        <v>667</v>
      </c>
    </row>
    <row r="22" spans="1:37" x14ac:dyDescent="0.25">
      <c r="A22" s="1" t="s">
        <v>87</v>
      </c>
      <c r="B22" s="1" t="s">
        <v>88</v>
      </c>
      <c r="C22" s="1" t="s">
        <v>50</v>
      </c>
      <c r="D22">
        <v>20</v>
      </c>
      <c r="E22">
        <v>193</v>
      </c>
      <c r="F22" s="1" t="s">
        <v>39</v>
      </c>
      <c r="G22" s="1" t="s">
        <v>39</v>
      </c>
      <c r="H22">
        <v>543</v>
      </c>
      <c r="I22">
        <f>((player_data_cleaning[[#This Row],[goal]]+ player_data_cleaning[[#This Row],[assistTotal]]) /player_data_cleaning[[#This Row],[Mins Played]])* 90</f>
        <v>0.33149171270718231</v>
      </c>
      <c r="J22">
        <f>player_data_cleaning[[#This Row],[interceptionPerGame]]+player_data_cleaning[[#This Row],[clearancePerGame]]</f>
        <v>9</v>
      </c>
      <c r="K22">
        <f>(player_data_cleaning[[#This Row],[dribbleWonPerGame]]*0.5) + (player_data_cleaning[[#This Row],[keyPassPerGame]]*0.5)</f>
        <v>4.5</v>
      </c>
      <c r="L22">
        <f t="shared" si="0"/>
        <v>0.34727703235990526</v>
      </c>
      <c r="M22">
        <f t="shared" si="1"/>
        <v>0.11267605633802817</v>
      </c>
      <c r="N22">
        <f>(player_data_cleaning[[#This Row],[BallProferssion&amp;Creativity]]- MIN(K22:K150) )/ (MAX(K22:K150) -MIN(K22:K150))</f>
        <v>0.29032258064516131</v>
      </c>
      <c r="O22">
        <v>2</v>
      </c>
      <c r="P22">
        <v>13</v>
      </c>
      <c r="Q22">
        <v>7</v>
      </c>
      <c r="R22">
        <v>2</v>
      </c>
      <c r="S22">
        <v>2</v>
      </c>
      <c r="T22">
        <v>0</v>
      </c>
      <c r="U22">
        <v>9</v>
      </c>
      <c r="V22">
        <v>2</v>
      </c>
      <c r="W22">
        <v>7</v>
      </c>
      <c r="X22">
        <v>1</v>
      </c>
      <c r="Y22">
        <v>3</v>
      </c>
      <c r="Z22">
        <v>1</v>
      </c>
      <c r="AA22">
        <v>19</v>
      </c>
      <c r="AB22">
        <v>92</v>
      </c>
      <c r="AC22">
        <v>514</v>
      </c>
      <c r="AD22">
        <v>0</v>
      </c>
      <c r="AE22">
        <v>0</v>
      </c>
      <c r="AF22">
        <v>0</v>
      </c>
      <c r="AG22">
        <v>9</v>
      </c>
      <c r="AH22">
        <v>15</v>
      </c>
      <c r="AI22">
        <v>14</v>
      </c>
      <c r="AJ22">
        <v>6</v>
      </c>
      <c r="AK22">
        <v>659</v>
      </c>
    </row>
    <row r="23" spans="1:37" x14ac:dyDescent="0.25">
      <c r="A23" s="1" t="s">
        <v>89</v>
      </c>
      <c r="B23" s="1" t="s">
        <v>90</v>
      </c>
      <c r="C23" s="1" t="s">
        <v>37</v>
      </c>
      <c r="D23">
        <v>20</v>
      </c>
      <c r="E23">
        <v>180</v>
      </c>
      <c r="F23" s="1" t="s">
        <v>62</v>
      </c>
      <c r="G23" s="1" t="s">
        <v>62</v>
      </c>
      <c r="H23">
        <v>1089</v>
      </c>
      <c r="I23">
        <f>((player_data_cleaning[[#This Row],[goal]]+ player_data_cleaning[[#This Row],[assistTotal]]) /player_data_cleaning[[#This Row],[Mins Played]])* 90</f>
        <v>0.24793388429752067</v>
      </c>
      <c r="J23">
        <f>player_data_cleaning[[#This Row],[interceptionPerGame]]+player_data_cleaning[[#This Row],[clearancePerGame]]</f>
        <v>10</v>
      </c>
      <c r="K23">
        <f>(player_data_cleaning[[#This Row],[dribbleWonPerGame]]*0.5) + (player_data_cleaning[[#This Row],[keyPassPerGame]]*0.5)</f>
        <v>3.5</v>
      </c>
      <c r="L23">
        <f t="shared" si="0"/>
        <v>0.25974025974025972</v>
      </c>
      <c r="M23">
        <f t="shared" si="1"/>
        <v>0.12676056338028169</v>
      </c>
      <c r="N23">
        <f>(player_data_cleaning[[#This Row],[BallProferssion&amp;Creativity]]- MIN(K23:K151) )/ (MAX(K23:K151) -MIN(K23:K151))</f>
        <v>0.22580645161290322</v>
      </c>
      <c r="O23">
        <v>4</v>
      </c>
      <c r="P23">
        <v>7</v>
      </c>
      <c r="Q23">
        <v>6</v>
      </c>
      <c r="R23">
        <v>3</v>
      </c>
      <c r="S23">
        <v>2</v>
      </c>
      <c r="T23">
        <v>1</v>
      </c>
      <c r="U23">
        <v>11</v>
      </c>
      <c r="V23">
        <v>5</v>
      </c>
      <c r="W23">
        <v>2</v>
      </c>
      <c r="X23">
        <v>6</v>
      </c>
      <c r="Y23">
        <v>0</v>
      </c>
      <c r="Z23">
        <v>5</v>
      </c>
      <c r="AA23">
        <v>11</v>
      </c>
      <c r="AB23">
        <v>241</v>
      </c>
      <c r="AC23">
        <v>868</v>
      </c>
      <c r="AD23">
        <v>1</v>
      </c>
      <c r="AE23">
        <v>9</v>
      </c>
      <c r="AF23">
        <v>0</v>
      </c>
      <c r="AG23">
        <v>271</v>
      </c>
      <c r="AH23">
        <v>22</v>
      </c>
      <c r="AI23">
        <v>24</v>
      </c>
      <c r="AJ23">
        <v>11</v>
      </c>
      <c r="AK23">
        <v>644</v>
      </c>
    </row>
    <row r="24" spans="1:37" x14ac:dyDescent="0.25">
      <c r="A24" s="1" t="s">
        <v>91</v>
      </c>
      <c r="B24" s="1" t="s">
        <v>92</v>
      </c>
      <c r="C24" s="1" t="s">
        <v>93</v>
      </c>
      <c r="D24">
        <v>20</v>
      </c>
      <c r="E24">
        <v>177</v>
      </c>
      <c r="F24" s="1" t="s">
        <v>81</v>
      </c>
      <c r="G24" s="1" t="s">
        <v>81</v>
      </c>
      <c r="H24">
        <v>1359</v>
      </c>
      <c r="I24">
        <f>((player_data_cleaning[[#This Row],[goal]]+ player_data_cleaning[[#This Row],[assistTotal]]) /player_data_cleaning[[#This Row],[Mins Played]])* 90</f>
        <v>6.6225165562913912E-2</v>
      </c>
      <c r="J24">
        <f>player_data_cleaning[[#This Row],[interceptionPerGame]]+player_data_cleaning[[#This Row],[clearancePerGame]]</f>
        <v>24</v>
      </c>
      <c r="K24">
        <f>(player_data_cleaning[[#This Row],[dribbleWonPerGame]]*0.5) + (player_data_cleaning[[#This Row],[keyPassPerGame]]*0.5)</f>
        <v>6</v>
      </c>
      <c r="L24">
        <f t="shared" si="0"/>
        <v>6.9378744875433621E-2</v>
      </c>
      <c r="M24">
        <f t="shared" si="1"/>
        <v>0.323943661971831</v>
      </c>
      <c r="N24">
        <f>(player_data_cleaning[[#This Row],[BallProferssion&amp;Creativity]]- MIN(K24:K152) )/ (MAX(K24:K152) -MIN(K24:K152))</f>
        <v>0.38709677419354838</v>
      </c>
      <c r="O24">
        <v>8</v>
      </c>
      <c r="P24">
        <v>17</v>
      </c>
      <c r="Q24">
        <v>16</v>
      </c>
      <c r="R24">
        <v>1</v>
      </c>
      <c r="S24">
        <v>0</v>
      </c>
      <c r="T24">
        <v>1</v>
      </c>
      <c r="U24">
        <v>1</v>
      </c>
      <c r="V24">
        <v>5</v>
      </c>
      <c r="W24">
        <v>7</v>
      </c>
      <c r="X24">
        <v>15</v>
      </c>
      <c r="Y24">
        <v>0</v>
      </c>
      <c r="Z24">
        <v>8</v>
      </c>
      <c r="AA24">
        <v>13</v>
      </c>
      <c r="AB24">
        <v>276</v>
      </c>
      <c r="AC24">
        <v>863</v>
      </c>
      <c r="AD24">
        <v>0</v>
      </c>
      <c r="AE24">
        <v>13</v>
      </c>
      <c r="AF24">
        <v>0</v>
      </c>
      <c r="AG24">
        <v>111</v>
      </c>
      <c r="AH24">
        <v>7</v>
      </c>
      <c r="AI24">
        <v>22</v>
      </c>
      <c r="AJ24">
        <v>5</v>
      </c>
      <c r="AK24">
        <v>630</v>
      </c>
    </row>
    <row r="25" spans="1:37" x14ac:dyDescent="0.25">
      <c r="A25" s="1" t="s">
        <v>94</v>
      </c>
      <c r="B25" s="1" t="s">
        <v>95</v>
      </c>
      <c r="C25" s="1" t="s">
        <v>93</v>
      </c>
      <c r="D25">
        <v>20</v>
      </c>
      <c r="E25">
        <v>186</v>
      </c>
      <c r="F25" s="1" t="s">
        <v>39</v>
      </c>
      <c r="G25" s="1" t="s">
        <v>39</v>
      </c>
      <c r="H25">
        <v>700</v>
      </c>
      <c r="I25">
        <f>((player_data_cleaning[[#This Row],[goal]]+ player_data_cleaning[[#This Row],[assistTotal]]) /player_data_cleaning[[#This Row],[Mins Played]])* 90</f>
        <v>0.38571428571428573</v>
      </c>
      <c r="J25">
        <f>player_data_cleaning[[#This Row],[interceptionPerGame]]+player_data_cleaning[[#This Row],[clearancePerGame]]</f>
        <v>5</v>
      </c>
      <c r="K25">
        <f>(player_data_cleaning[[#This Row],[dribbleWonPerGame]]*0.5) + (player_data_cleaning[[#This Row],[keyPassPerGame]]*0.5)</f>
        <v>1</v>
      </c>
      <c r="L25">
        <f t="shared" si="0"/>
        <v>0.40408163265306124</v>
      </c>
      <c r="M25">
        <f t="shared" si="1"/>
        <v>5.6338028169014086E-2</v>
      </c>
      <c r="N25">
        <f>(player_data_cleaning[[#This Row],[BallProferssion&amp;Creativity]]- MIN(K25:K153) )/ (MAX(K25:K153) -MIN(K25:K153))</f>
        <v>6.4516129032258063E-2</v>
      </c>
      <c r="O25">
        <v>1</v>
      </c>
      <c r="P25">
        <v>3</v>
      </c>
      <c r="Q25">
        <v>4</v>
      </c>
      <c r="R25">
        <v>3</v>
      </c>
      <c r="S25">
        <v>3</v>
      </c>
      <c r="T25">
        <v>0</v>
      </c>
      <c r="U25">
        <v>8</v>
      </c>
      <c r="V25">
        <v>2</v>
      </c>
      <c r="W25">
        <v>0</v>
      </c>
      <c r="X25">
        <v>3</v>
      </c>
      <c r="Y25">
        <v>4</v>
      </c>
      <c r="Z25">
        <v>5</v>
      </c>
      <c r="AA25">
        <v>8</v>
      </c>
      <c r="AB25">
        <v>81</v>
      </c>
      <c r="AC25">
        <v>586</v>
      </c>
      <c r="AD25">
        <v>1</v>
      </c>
      <c r="AE25">
        <v>1</v>
      </c>
      <c r="AF25">
        <v>0</v>
      </c>
      <c r="AG25">
        <v>527</v>
      </c>
      <c r="AH25">
        <v>68</v>
      </c>
      <c r="AI25">
        <v>15</v>
      </c>
      <c r="AJ25">
        <v>35</v>
      </c>
      <c r="AK25">
        <v>623</v>
      </c>
    </row>
    <row r="26" spans="1:37" x14ac:dyDescent="0.25">
      <c r="A26" s="1" t="s">
        <v>96</v>
      </c>
      <c r="B26" s="1" t="s">
        <v>97</v>
      </c>
      <c r="C26" s="1" t="s">
        <v>33</v>
      </c>
      <c r="D26">
        <v>20</v>
      </c>
      <c r="E26">
        <v>178</v>
      </c>
      <c r="F26" s="1" t="s">
        <v>73</v>
      </c>
      <c r="G26" s="1" t="s">
        <v>73</v>
      </c>
      <c r="H26">
        <v>1529</v>
      </c>
      <c r="I26">
        <f>((player_data_cleaning[[#This Row],[goal]]+ player_data_cleaning[[#This Row],[assistTotal]]) /player_data_cleaning[[#This Row],[Mins Played]])* 90</f>
        <v>0.58862001308044476</v>
      </c>
      <c r="J26">
        <f>player_data_cleaning[[#This Row],[interceptionPerGame]]+player_data_cleaning[[#This Row],[clearancePerGame]]</f>
        <v>4</v>
      </c>
      <c r="K26">
        <f>(player_data_cleaning[[#This Row],[dribbleWonPerGame]]*0.5) + (player_data_cleaning[[#This Row],[keyPassPerGame]]*0.5)</f>
        <v>5.5</v>
      </c>
      <c r="L26">
        <f t="shared" si="0"/>
        <v>0.6166495375128469</v>
      </c>
      <c r="M26">
        <f t="shared" si="1"/>
        <v>4.2253521126760563E-2</v>
      </c>
      <c r="N26">
        <f>(player_data_cleaning[[#This Row],[BallProferssion&amp;Creativity]]- MIN(K26:K154) )/ (MAX(K26:K154) -MIN(K26:K154))</f>
        <v>0.35483870967741937</v>
      </c>
      <c r="O26">
        <v>3</v>
      </c>
      <c r="P26">
        <v>9</v>
      </c>
      <c r="Q26">
        <v>1</v>
      </c>
      <c r="R26">
        <v>2</v>
      </c>
      <c r="S26">
        <v>7</v>
      </c>
      <c r="T26">
        <v>3</v>
      </c>
      <c r="U26">
        <v>18</v>
      </c>
      <c r="V26">
        <v>8</v>
      </c>
      <c r="W26">
        <v>3</v>
      </c>
      <c r="X26">
        <v>13</v>
      </c>
      <c r="Y26">
        <v>1</v>
      </c>
      <c r="Z26">
        <v>11</v>
      </c>
      <c r="AA26">
        <v>17</v>
      </c>
      <c r="AB26">
        <v>171</v>
      </c>
      <c r="AC26">
        <v>829</v>
      </c>
      <c r="AD26">
        <v>3</v>
      </c>
      <c r="AE26">
        <v>3</v>
      </c>
      <c r="AF26">
        <v>1</v>
      </c>
      <c r="AG26">
        <v>405</v>
      </c>
      <c r="AH26">
        <v>24</v>
      </c>
      <c r="AI26">
        <v>42</v>
      </c>
      <c r="AJ26">
        <v>1</v>
      </c>
      <c r="AK26">
        <v>708</v>
      </c>
    </row>
    <row r="27" spans="1:37" x14ac:dyDescent="0.25">
      <c r="A27" s="1" t="s">
        <v>98</v>
      </c>
      <c r="B27" s="1" t="s">
        <v>99</v>
      </c>
      <c r="C27" s="1" t="s">
        <v>33</v>
      </c>
      <c r="D27">
        <v>21</v>
      </c>
      <c r="E27">
        <v>173</v>
      </c>
      <c r="F27" s="1" t="s">
        <v>81</v>
      </c>
      <c r="G27" s="1" t="s">
        <v>81</v>
      </c>
      <c r="H27">
        <v>1391</v>
      </c>
      <c r="I27">
        <f>((player_data_cleaning[[#This Row],[goal]]+ player_data_cleaning[[#This Row],[assistTotal]]) /player_data_cleaning[[#This Row],[Mins Played]])* 90</f>
        <v>0.51761322789360176</v>
      </c>
      <c r="J27">
        <f>player_data_cleaning[[#This Row],[interceptionPerGame]]+player_data_cleaning[[#This Row],[clearancePerGame]]</f>
        <v>13</v>
      </c>
      <c r="K27">
        <f>(player_data_cleaning[[#This Row],[dribbleWonPerGame]]*0.5) + (player_data_cleaning[[#This Row],[keyPassPerGame]]*0.5)</f>
        <v>11</v>
      </c>
      <c r="L27">
        <f t="shared" si="0"/>
        <v>0.54226147684091608</v>
      </c>
      <c r="M27">
        <f t="shared" si="1"/>
        <v>0.16901408450704225</v>
      </c>
      <c r="N27">
        <f>(player_data_cleaning[[#This Row],[BallProferssion&amp;Creativity]]- MIN(K27:K155) )/ (MAX(K27:K155) -MIN(K27:K155))</f>
        <v>0.70967741935483875</v>
      </c>
      <c r="O27">
        <v>12</v>
      </c>
      <c r="P27">
        <v>17</v>
      </c>
      <c r="Q27">
        <v>1</v>
      </c>
      <c r="R27">
        <v>8</v>
      </c>
      <c r="S27">
        <v>2</v>
      </c>
      <c r="T27">
        <v>6</v>
      </c>
      <c r="U27">
        <v>11</v>
      </c>
      <c r="V27">
        <v>17</v>
      </c>
      <c r="W27">
        <v>5</v>
      </c>
      <c r="X27">
        <v>12</v>
      </c>
      <c r="Y27">
        <v>0</v>
      </c>
      <c r="Z27">
        <v>8</v>
      </c>
      <c r="AA27">
        <v>15</v>
      </c>
      <c r="AB27">
        <v>453</v>
      </c>
      <c r="AC27">
        <v>872</v>
      </c>
      <c r="AD27">
        <v>14</v>
      </c>
      <c r="AE27">
        <v>27</v>
      </c>
      <c r="AF27">
        <v>1</v>
      </c>
      <c r="AG27">
        <v>184</v>
      </c>
      <c r="AH27">
        <v>12</v>
      </c>
      <c r="AI27">
        <v>21</v>
      </c>
      <c r="AJ27">
        <v>9</v>
      </c>
      <c r="AK27">
        <v>707</v>
      </c>
    </row>
    <row r="28" spans="1:37" x14ac:dyDescent="0.25">
      <c r="A28" s="1" t="s">
        <v>100</v>
      </c>
      <c r="B28" s="1" t="s">
        <v>101</v>
      </c>
      <c r="C28" s="1" t="s">
        <v>33</v>
      </c>
      <c r="D28">
        <v>21</v>
      </c>
      <c r="E28">
        <v>178</v>
      </c>
      <c r="F28" s="1" t="s">
        <v>73</v>
      </c>
      <c r="G28" s="1" t="s">
        <v>39</v>
      </c>
      <c r="H28">
        <v>1067</v>
      </c>
      <c r="I28">
        <f>((player_data_cleaning[[#This Row],[goal]]+ player_data_cleaning[[#This Row],[assistTotal]]) /player_data_cleaning[[#This Row],[Mins Played]])* 90</f>
        <v>0.50609184629803183</v>
      </c>
      <c r="J28">
        <f>player_data_cleaning[[#This Row],[interceptionPerGame]]+player_data_cleaning[[#This Row],[clearancePerGame]]</f>
        <v>7</v>
      </c>
      <c r="K28">
        <f>(player_data_cleaning[[#This Row],[dribbleWonPerGame]]*0.5) + (player_data_cleaning[[#This Row],[keyPassPerGame]]*0.5)</f>
        <v>9.5</v>
      </c>
      <c r="L28">
        <f t="shared" si="0"/>
        <v>0.53019145802650947</v>
      </c>
      <c r="M28">
        <f t="shared" si="1"/>
        <v>8.4507042253521125E-2</v>
      </c>
      <c r="N28">
        <f>(player_data_cleaning[[#This Row],[BallProferssion&amp;Creativity]]- MIN(K28:K156) )/ (MAX(K28:K156) -MIN(K28:K156))</f>
        <v>0.61290322580645162</v>
      </c>
      <c r="O28">
        <v>4</v>
      </c>
      <c r="P28">
        <v>8</v>
      </c>
      <c r="Q28">
        <v>3</v>
      </c>
      <c r="R28">
        <v>8</v>
      </c>
      <c r="S28">
        <v>4</v>
      </c>
      <c r="T28">
        <v>2</v>
      </c>
      <c r="U28">
        <v>13</v>
      </c>
      <c r="V28">
        <v>12</v>
      </c>
      <c r="W28">
        <v>7</v>
      </c>
      <c r="X28">
        <v>9</v>
      </c>
      <c r="Y28">
        <v>1</v>
      </c>
      <c r="Z28">
        <v>4</v>
      </c>
      <c r="AA28">
        <v>18</v>
      </c>
      <c r="AB28">
        <v>346</v>
      </c>
      <c r="AC28">
        <v>827</v>
      </c>
      <c r="AD28">
        <v>5</v>
      </c>
      <c r="AE28">
        <v>13</v>
      </c>
      <c r="AF28">
        <v>0</v>
      </c>
      <c r="AG28">
        <v>262</v>
      </c>
      <c r="AH28">
        <v>22</v>
      </c>
      <c r="AI28">
        <v>21</v>
      </c>
      <c r="AJ28">
        <v>12</v>
      </c>
      <c r="AK28">
        <v>679</v>
      </c>
    </row>
    <row r="29" spans="1:37" x14ac:dyDescent="0.25">
      <c r="A29" s="1" t="s">
        <v>102</v>
      </c>
      <c r="B29" s="1" t="s">
        <v>32</v>
      </c>
      <c r="C29" s="1" t="s">
        <v>33</v>
      </c>
      <c r="D29">
        <v>21</v>
      </c>
      <c r="E29">
        <v>172</v>
      </c>
      <c r="F29" s="1" t="s">
        <v>45</v>
      </c>
      <c r="G29" s="1" t="s">
        <v>45</v>
      </c>
      <c r="H29">
        <v>1551</v>
      </c>
      <c r="I29">
        <f>((player_data_cleaning[[#This Row],[goal]]+ player_data_cleaning[[#This Row],[assistTotal]]) /player_data_cleaning[[#This Row],[Mins Played]])* 90</f>
        <v>0.23210831721470018</v>
      </c>
      <c r="J29">
        <f>player_data_cleaning[[#This Row],[interceptionPerGame]]+player_data_cleaning[[#This Row],[clearancePerGame]]</f>
        <v>8</v>
      </c>
      <c r="K29">
        <f>(player_data_cleaning[[#This Row],[dribbleWonPerGame]]*0.5) + (player_data_cleaning[[#This Row],[keyPassPerGame]]*0.5)</f>
        <v>3</v>
      </c>
      <c r="L29">
        <f t="shared" si="0"/>
        <v>0.24316109422492399</v>
      </c>
      <c r="M29">
        <f t="shared" si="1"/>
        <v>9.8591549295774641E-2</v>
      </c>
      <c r="N29">
        <f>(player_data_cleaning[[#This Row],[BallProferssion&amp;Creativity]]- MIN(K29:K157) )/ (MAX(K29:K157) -MIN(K29:K157))</f>
        <v>0.19354838709677419</v>
      </c>
      <c r="O29">
        <v>1</v>
      </c>
      <c r="P29">
        <v>12</v>
      </c>
      <c r="Q29">
        <v>7</v>
      </c>
      <c r="R29">
        <v>8</v>
      </c>
      <c r="S29">
        <v>1</v>
      </c>
      <c r="T29">
        <v>3</v>
      </c>
      <c r="U29">
        <v>6</v>
      </c>
      <c r="V29">
        <v>4</v>
      </c>
      <c r="W29">
        <v>2</v>
      </c>
      <c r="X29">
        <v>16</v>
      </c>
      <c r="Y29">
        <v>0</v>
      </c>
      <c r="Z29">
        <v>4</v>
      </c>
      <c r="AA29">
        <v>7</v>
      </c>
      <c r="AB29">
        <v>594</v>
      </c>
      <c r="AC29">
        <v>899</v>
      </c>
      <c r="AD29">
        <v>0</v>
      </c>
      <c r="AE29">
        <v>15</v>
      </c>
      <c r="AF29">
        <v>1</v>
      </c>
      <c r="AG29">
        <v>96</v>
      </c>
      <c r="AH29">
        <v>6</v>
      </c>
      <c r="AI29">
        <v>14</v>
      </c>
      <c r="AJ29">
        <v>7</v>
      </c>
      <c r="AK29">
        <v>678</v>
      </c>
    </row>
    <row r="30" spans="1:37" x14ac:dyDescent="0.25">
      <c r="A30" s="1" t="s">
        <v>103</v>
      </c>
      <c r="B30" s="1" t="s">
        <v>104</v>
      </c>
      <c r="C30" s="1" t="s">
        <v>33</v>
      </c>
      <c r="D30">
        <v>20</v>
      </c>
      <c r="E30">
        <v>176</v>
      </c>
      <c r="F30" s="1" t="s">
        <v>38</v>
      </c>
      <c r="G30" s="1" t="s">
        <v>38</v>
      </c>
      <c r="H30">
        <v>1445</v>
      </c>
      <c r="I30">
        <f>((player_data_cleaning[[#This Row],[goal]]+ player_data_cleaning[[#This Row],[assistTotal]]) /player_data_cleaning[[#This Row],[Mins Played]])* 90</f>
        <v>0.4982698961937716</v>
      </c>
      <c r="J30">
        <f>player_data_cleaning[[#This Row],[interceptionPerGame]]+player_data_cleaning[[#This Row],[clearancePerGame]]</f>
        <v>5</v>
      </c>
      <c r="K30">
        <f>(player_data_cleaning[[#This Row],[dribbleWonPerGame]]*0.5) + (player_data_cleaning[[#This Row],[keyPassPerGame]]*0.5)</f>
        <v>9</v>
      </c>
      <c r="L30">
        <f t="shared" si="0"/>
        <v>0.52199703410776066</v>
      </c>
      <c r="M30">
        <f t="shared" si="1"/>
        <v>5.6338028169014086E-2</v>
      </c>
      <c r="N30">
        <f>(player_data_cleaning[[#This Row],[BallProferssion&amp;Creativity]]- MIN(K30:K158) )/ (MAX(K30:K158) -MIN(K30:K158))</f>
        <v>0.58064516129032262</v>
      </c>
      <c r="O30">
        <v>2</v>
      </c>
      <c r="P30">
        <v>7</v>
      </c>
      <c r="Q30">
        <v>3</v>
      </c>
      <c r="R30">
        <v>4</v>
      </c>
      <c r="S30">
        <v>1</v>
      </c>
      <c r="T30">
        <v>7</v>
      </c>
      <c r="U30">
        <v>22</v>
      </c>
      <c r="V30">
        <v>16</v>
      </c>
      <c r="W30">
        <v>2</v>
      </c>
      <c r="X30">
        <v>1</v>
      </c>
      <c r="Y30">
        <v>1</v>
      </c>
      <c r="Z30">
        <v>15</v>
      </c>
      <c r="AA30">
        <v>17</v>
      </c>
      <c r="AB30">
        <v>284</v>
      </c>
      <c r="AC30">
        <v>869</v>
      </c>
      <c r="AD30">
        <v>7</v>
      </c>
      <c r="AE30">
        <v>9</v>
      </c>
      <c r="AF30">
        <v>2</v>
      </c>
      <c r="AG30">
        <v>431</v>
      </c>
      <c r="AH30">
        <v>27</v>
      </c>
      <c r="AI30">
        <v>48</v>
      </c>
      <c r="AJ30">
        <v>9</v>
      </c>
      <c r="AK30">
        <v>700</v>
      </c>
    </row>
    <row r="31" spans="1:37" x14ac:dyDescent="0.25">
      <c r="A31" s="1" t="s">
        <v>105</v>
      </c>
      <c r="B31" s="1" t="s">
        <v>43</v>
      </c>
      <c r="C31" s="1" t="s">
        <v>44</v>
      </c>
      <c r="D31">
        <v>21</v>
      </c>
      <c r="E31">
        <v>182</v>
      </c>
      <c r="F31" s="1" t="s">
        <v>106</v>
      </c>
      <c r="G31" s="1" t="s">
        <v>106</v>
      </c>
      <c r="H31">
        <v>1356</v>
      </c>
      <c r="I31">
        <f>((player_data_cleaning[[#This Row],[goal]]+ player_data_cleaning[[#This Row],[assistTotal]]) /player_data_cleaning[[#This Row],[Mins Played]])* 90</f>
        <v>6.6371681415929196E-2</v>
      </c>
      <c r="J31">
        <f>player_data_cleaning[[#This Row],[interceptionPerGame]]+player_data_cleaning[[#This Row],[clearancePerGame]]</f>
        <v>28</v>
      </c>
      <c r="K31">
        <f>(player_data_cleaning[[#This Row],[dribbleWonPerGame]]*0.5) + (player_data_cleaning[[#This Row],[keyPassPerGame]]*0.5)</f>
        <v>1.5</v>
      </c>
      <c r="L31">
        <f t="shared" si="0"/>
        <v>6.9532237673830585E-2</v>
      </c>
      <c r="M31">
        <f t="shared" si="1"/>
        <v>0.38028169014084506</v>
      </c>
      <c r="N31">
        <f>(player_data_cleaning[[#This Row],[BallProferssion&amp;Creativity]]- MIN(K31:K159) )/ (MAX(K31:K159) -MIN(K31:K159))</f>
        <v>9.6774193548387094E-2</v>
      </c>
      <c r="O31">
        <v>9</v>
      </c>
      <c r="P31">
        <v>11</v>
      </c>
      <c r="Q31">
        <v>19</v>
      </c>
      <c r="R31">
        <v>8</v>
      </c>
      <c r="S31">
        <v>1</v>
      </c>
      <c r="T31">
        <v>0</v>
      </c>
      <c r="U31">
        <v>5</v>
      </c>
      <c r="V31">
        <v>3</v>
      </c>
      <c r="W31">
        <v>0</v>
      </c>
      <c r="X31">
        <v>5</v>
      </c>
      <c r="Y31">
        <v>1</v>
      </c>
      <c r="Z31">
        <v>1</v>
      </c>
      <c r="AA31">
        <v>6</v>
      </c>
      <c r="AB31">
        <v>888</v>
      </c>
      <c r="AC31">
        <v>943</v>
      </c>
      <c r="AD31">
        <v>1</v>
      </c>
      <c r="AE31">
        <v>27</v>
      </c>
      <c r="AF31">
        <v>1</v>
      </c>
      <c r="AG31">
        <v>74</v>
      </c>
      <c r="AH31">
        <v>5</v>
      </c>
      <c r="AI31">
        <v>8</v>
      </c>
      <c r="AJ31">
        <v>9</v>
      </c>
      <c r="AK31">
        <v>677</v>
      </c>
    </row>
    <row r="32" spans="1:37" x14ac:dyDescent="0.25">
      <c r="A32" s="1" t="s">
        <v>107</v>
      </c>
      <c r="B32" s="1" t="s">
        <v>47</v>
      </c>
      <c r="C32" s="1" t="s">
        <v>37</v>
      </c>
      <c r="D32">
        <v>20</v>
      </c>
      <c r="E32">
        <v>179</v>
      </c>
      <c r="F32" s="1" t="s">
        <v>69</v>
      </c>
      <c r="G32" s="1" t="s">
        <v>70</v>
      </c>
      <c r="H32">
        <v>1842</v>
      </c>
      <c r="I32">
        <f>((player_data_cleaning[[#This Row],[goal]]+ player_data_cleaning[[#This Row],[assistTotal]]) /player_data_cleaning[[#This Row],[Mins Played]])* 90</f>
        <v>0.29315960912052119</v>
      </c>
      <c r="J32">
        <f>player_data_cleaning[[#This Row],[interceptionPerGame]]+player_data_cleaning[[#This Row],[clearancePerGame]]</f>
        <v>30</v>
      </c>
      <c r="K32">
        <f>(player_data_cleaning[[#This Row],[dribbleWonPerGame]]*0.5) + (player_data_cleaning[[#This Row],[keyPassPerGame]]*0.5)</f>
        <v>13</v>
      </c>
      <c r="L32">
        <f t="shared" si="0"/>
        <v>0.30711959050721266</v>
      </c>
      <c r="M32">
        <f t="shared" si="1"/>
        <v>0.40845070422535212</v>
      </c>
      <c r="N32">
        <f>(player_data_cleaning[[#This Row],[BallProferssion&amp;Creativity]]- MIN(K32:K160) )/ (MAX(K32:K160) -MIN(K32:K160))</f>
        <v>0.83870967741935487</v>
      </c>
      <c r="O32">
        <v>11</v>
      </c>
      <c r="P32">
        <v>1</v>
      </c>
      <c r="Q32">
        <v>19</v>
      </c>
      <c r="R32">
        <v>8</v>
      </c>
      <c r="S32">
        <v>1</v>
      </c>
      <c r="T32">
        <v>5</v>
      </c>
      <c r="U32">
        <v>8</v>
      </c>
      <c r="V32">
        <v>9</v>
      </c>
      <c r="W32">
        <v>17</v>
      </c>
      <c r="X32">
        <v>13</v>
      </c>
      <c r="Y32">
        <v>0</v>
      </c>
      <c r="Z32">
        <v>1</v>
      </c>
      <c r="AA32">
        <v>18</v>
      </c>
      <c r="AB32">
        <v>328</v>
      </c>
      <c r="AC32">
        <v>797</v>
      </c>
      <c r="AD32">
        <v>7</v>
      </c>
      <c r="AE32">
        <v>11</v>
      </c>
      <c r="AF32">
        <v>2</v>
      </c>
      <c r="AG32">
        <v>159</v>
      </c>
      <c r="AH32">
        <v>8</v>
      </c>
      <c r="AI32">
        <v>19</v>
      </c>
      <c r="AJ32">
        <v>8</v>
      </c>
      <c r="AK32">
        <v>698</v>
      </c>
    </row>
    <row r="33" spans="1:37" x14ac:dyDescent="0.25">
      <c r="A33" s="1" t="s">
        <v>108</v>
      </c>
      <c r="B33" s="1" t="s">
        <v>90</v>
      </c>
      <c r="C33" s="1" t="s">
        <v>37</v>
      </c>
      <c r="D33">
        <v>21</v>
      </c>
      <c r="E33">
        <v>182</v>
      </c>
      <c r="F33" s="1" t="s">
        <v>83</v>
      </c>
      <c r="G33" s="1" t="s">
        <v>39</v>
      </c>
      <c r="H33">
        <v>883</v>
      </c>
      <c r="I33">
        <f>((player_data_cleaning[[#This Row],[goal]]+ player_data_cleaning[[#This Row],[assistTotal]]) /player_data_cleaning[[#This Row],[Mins Played]])* 90</f>
        <v>0.30577576443941112</v>
      </c>
      <c r="J33">
        <f>player_data_cleaning[[#This Row],[interceptionPerGame]]+player_data_cleaning[[#This Row],[clearancePerGame]]</f>
        <v>9</v>
      </c>
      <c r="K33">
        <f>(player_data_cleaning[[#This Row],[dribbleWonPerGame]]*0.5) + (player_data_cleaning[[#This Row],[keyPassPerGame]]*0.5)</f>
        <v>14</v>
      </c>
      <c r="L33">
        <f t="shared" si="0"/>
        <v>0.32033651512700212</v>
      </c>
      <c r="M33">
        <f t="shared" si="1"/>
        <v>0.11267605633802817</v>
      </c>
      <c r="N33">
        <f>(player_data_cleaning[[#This Row],[BallProferssion&amp;Creativity]]- MIN(K33:K161) )/ (MAX(K33:K161) -MIN(K33:K161))</f>
        <v>0.90322580645161288</v>
      </c>
      <c r="O33">
        <v>3</v>
      </c>
      <c r="P33">
        <v>5</v>
      </c>
      <c r="Q33">
        <v>6</v>
      </c>
      <c r="R33">
        <v>4</v>
      </c>
      <c r="S33">
        <v>2</v>
      </c>
      <c r="T33">
        <v>1</v>
      </c>
      <c r="U33">
        <v>14</v>
      </c>
      <c r="V33">
        <v>16</v>
      </c>
      <c r="W33">
        <v>12</v>
      </c>
      <c r="X33">
        <v>14</v>
      </c>
      <c r="Y33">
        <v>0</v>
      </c>
      <c r="Z33">
        <v>1</v>
      </c>
      <c r="AA33">
        <v>18</v>
      </c>
      <c r="AB33">
        <v>279</v>
      </c>
      <c r="AC33">
        <v>868</v>
      </c>
      <c r="AD33">
        <v>8</v>
      </c>
      <c r="AE33">
        <v>7</v>
      </c>
      <c r="AF33">
        <v>0</v>
      </c>
      <c r="AG33">
        <v>227</v>
      </c>
      <c r="AH33">
        <v>23</v>
      </c>
      <c r="AI33">
        <v>22</v>
      </c>
      <c r="AJ33">
        <v>1</v>
      </c>
      <c r="AK33">
        <v>674</v>
      </c>
    </row>
    <row r="34" spans="1:37" x14ac:dyDescent="0.25">
      <c r="A34" s="1" t="s">
        <v>109</v>
      </c>
      <c r="B34" s="1" t="s">
        <v>110</v>
      </c>
      <c r="C34" s="1" t="s">
        <v>33</v>
      </c>
      <c r="D34">
        <v>21</v>
      </c>
      <c r="E34">
        <v>172</v>
      </c>
      <c r="F34" s="1" t="s">
        <v>111</v>
      </c>
      <c r="G34" s="1" t="s">
        <v>111</v>
      </c>
      <c r="H34">
        <v>949</v>
      </c>
      <c r="I34">
        <f>((player_data_cleaning[[#This Row],[goal]]+ player_data_cleaning[[#This Row],[assistTotal]]) /player_data_cleaning[[#This Row],[Mins Played]])* 90</f>
        <v>0.3793466807165437</v>
      </c>
      <c r="J34">
        <f>player_data_cleaning[[#This Row],[interceptionPerGame]]+player_data_cleaning[[#This Row],[clearancePerGame]]</f>
        <v>7</v>
      </c>
      <c r="K34">
        <f>(player_data_cleaning[[#This Row],[dribbleWonPerGame]]*0.5) + (player_data_cleaning[[#This Row],[keyPassPerGame]]*0.5)</f>
        <v>9</v>
      </c>
      <c r="L34">
        <f t="shared" ref="L34:L65" si="2">(I34- MIN($I$2:$I$130) )/( MAX($I$2:$I$130) -MIN($I$2:$I$130))</f>
        <v>0.39741080836971243</v>
      </c>
      <c r="M34">
        <f t="shared" ref="M34:M65" si="3">(J34- MIN($J$2:$J$130) )/ (MAX($J$2:$J$130) -MIN($J$2:$J$130))</f>
        <v>8.4507042253521125E-2</v>
      </c>
      <c r="N34">
        <f>(player_data_cleaning[[#This Row],[BallProferssion&amp;Creativity]]- MIN(K34:K162) )/ (MAX(K34:K162) -MIN(K34:K162))</f>
        <v>0.58064516129032262</v>
      </c>
      <c r="O34">
        <v>3</v>
      </c>
      <c r="P34">
        <v>4</v>
      </c>
      <c r="Q34">
        <v>4</v>
      </c>
      <c r="R34">
        <v>8</v>
      </c>
      <c r="S34">
        <v>3</v>
      </c>
      <c r="T34">
        <v>1</v>
      </c>
      <c r="U34">
        <v>15</v>
      </c>
      <c r="V34">
        <v>3</v>
      </c>
      <c r="W34">
        <v>15</v>
      </c>
      <c r="X34">
        <v>17</v>
      </c>
      <c r="Y34">
        <v>2</v>
      </c>
      <c r="Z34">
        <v>17</v>
      </c>
      <c r="AA34">
        <v>21</v>
      </c>
      <c r="AB34">
        <v>166</v>
      </c>
      <c r="AC34">
        <v>815</v>
      </c>
      <c r="AD34">
        <v>1</v>
      </c>
      <c r="AE34">
        <v>6</v>
      </c>
      <c r="AF34">
        <v>1</v>
      </c>
      <c r="AG34">
        <v>193</v>
      </c>
      <c r="AH34">
        <v>18</v>
      </c>
      <c r="AI34">
        <v>23</v>
      </c>
      <c r="AJ34">
        <v>8</v>
      </c>
      <c r="AK34">
        <v>671</v>
      </c>
    </row>
    <row r="35" spans="1:37" x14ac:dyDescent="0.25">
      <c r="A35" s="1" t="s">
        <v>112</v>
      </c>
      <c r="B35" s="1" t="s">
        <v>113</v>
      </c>
      <c r="C35" s="1" t="s">
        <v>33</v>
      </c>
      <c r="D35">
        <v>19</v>
      </c>
      <c r="E35">
        <v>197</v>
      </c>
      <c r="F35" s="1" t="s">
        <v>59</v>
      </c>
      <c r="G35" s="1" t="s">
        <v>59</v>
      </c>
      <c r="H35">
        <v>1510</v>
      </c>
      <c r="I35">
        <f>((player_data_cleaning[[#This Row],[goal]]+ player_data_cleaning[[#This Row],[assistTotal]]) /player_data_cleaning[[#This Row],[Mins Played]])* 90</f>
        <v>0.11920529801324503</v>
      </c>
      <c r="J35">
        <f>player_data_cleaning[[#This Row],[interceptionPerGame]]+player_data_cleaning[[#This Row],[clearancePerGame]]</f>
        <v>66</v>
      </c>
      <c r="K35">
        <f>(player_data_cleaning[[#This Row],[dribbleWonPerGame]]*0.5) + (player_data_cleaning[[#This Row],[keyPassPerGame]]*0.5)</f>
        <v>3</v>
      </c>
      <c r="L35">
        <f t="shared" si="2"/>
        <v>0.1248817407757805</v>
      </c>
      <c r="M35">
        <f t="shared" si="3"/>
        <v>0.91549295774647887</v>
      </c>
      <c r="N35">
        <f>(player_data_cleaning[[#This Row],[BallProferssion&amp;Creativity]]- MIN(K35:K163) )/ (MAX(K35:K163) -MIN(K35:K163))</f>
        <v>0.19354838709677419</v>
      </c>
      <c r="O35">
        <v>18</v>
      </c>
      <c r="P35">
        <v>9</v>
      </c>
      <c r="Q35">
        <v>48</v>
      </c>
      <c r="R35">
        <v>3</v>
      </c>
      <c r="S35">
        <v>2</v>
      </c>
      <c r="T35">
        <v>0</v>
      </c>
      <c r="U35">
        <v>5</v>
      </c>
      <c r="V35">
        <v>5</v>
      </c>
      <c r="W35">
        <v>1</v>
      </c>
      <c r="X35">
        <v>2</v>
      </c>
      <c r="Y35">
        <v>0</v>
      </c>
      <c r="Z35">
        <v>0</v>
      </c>
      <c r="AA35">
        <v>5</v>
      </c>
      <c r="AB35">
        <v>454</v>
      </c>
      <c r="AC35">
        <v>842</v>
      </c>
      <c r="AD35">
        <v>0</v>
      </c>
      <c r="AE35">
        <v>39</v>
      </c>
      <c r="AF35">
        <v>0</v>
      </c>
      <c r="AG35">
        <v>124</v>
      </c>
      <c r="AH35">
        <v>7</v>
      </c>
      <c r="AI35">
        <v>11</v>
      </c>
      <c r="AJ35">
        <v>11</v>
      </c>
      <c r="AK35">
        <v>696</v>
      </c>
    </row>
    <row r="36" spans="1:37" x14ac:dyDescent="0.25">
      <c r="A36" s="1" t="s">
        <v>114</v>
      </c>
      <c r="B36" s="1" t="s">
        <v>115</v>
      </c>
      <c r="C36" s="1" t="s">
        <v>37</v>
      </c>
      <c r="D36">
        <v>21</v>
      </c>
      <c r="E36">
        <v>182</v>
      </c>
      <c r="F36" s="1" t="s">
        <v>64</v>
      </c>
      <c r="G36" s="1" t="s">
        <v>116</v>
      </c>
      <c r="H36">
        <v>1789</v>
      </c>
      <c r="I36">
        <f>((player_data_cleaning[[#This Row],[goal]]+ player_data_cleaning[[#This Row],[assistTotal]]) /player_data_cleaning[[#This Row],[Mins Played]])* 90</f>
        <v>0.20122973728339855</v>
      </c>
      <c r="J36">
        <f>player_data_cleaning[[#This Row],[interceptionPerGame]]+player_data_cleaning[[#This Row],[clearancePerGame]]</f>
        <v>10</v>
      </c>
      <c r="K36">
        <f>(player_data_cleaning[[#This Row],[dribbleWonPerGame]]*0.5) + (player_data_cleaning[[#This Row],[keyPassPerGame]]*0.5)</f>
        <v>7</v>
      </c>
      <c r="L36">
        <f t="shared" si="2"/>
        <v>0.21081210572546513</v>
      </c>
      <c r="M36">
        <f t="shared" si="3"/>
        <v>0.12676056338028169</v>
      </c>
      <c r="N36">
        <f>(player_data_cleaning[[#This Row],[BallProferssion&amp;Creativity]]- MIN(K36:K164) )/ (MAX(K36:K164) -MIN(K36:K164))</f>
        <v>0.45161290322580644</v>
      </c>
      <c r="O36">
        <v>8</v>
      </c>
      <c r="P36">
        <v>5</v>
      </c>
      <c r="Q36">
        <v>2</v>
      </c>
      <c r="R36">
        <v>8</v>
      </c>
      <c r="S36">
        <v>2</v>
      </c>
      <c r="T36">
        <v>2</v>
      </c>
      <c r="U36">
        <v>6</v>
      </c>
      <c r="V36">
        <v>7</v>
      </c>
      <c r="W36">
        <v>7</v>
      </c>
      <c r="X36">
        <v>15</v>
      </c>
      <c r="Y36">
        <v>0</v>
      </c>
      <c r="Z36">
        <v>4</v>
      </c>
      <c r="AA36">
        <v>8</v>
      </c>
      <c r="AB36">
        <v>519</v>
      </c>
      <c r="AC36">
        <v>881</v>
      </c>
      <c r="AD36">
        <v>2</v>
      </c>
      <c r="AE36">
        <v>13</v>
      </c>
      <c r="AF36">
        <v>1</v>
      </c>
      <c r="AG36">
        <v>183</v>
      </c>
      <c r="AH36">
        <v>9</v>
      </c>
      <c r="AI36">
        <v>14</v>
      </c>
      <c r="AJ36">
        <v>13</v>
      </c>
      <c r="AK36">
        <v>669</v>
      </c>
    </row>
    <row r="37" spans="1:37" x14ac:dyDescent="0.25">
      <c r="A37" s="1" t="s">
        <v>117</v>
      </c>
      <c r="B37" s="1" t="s">
        <v>72</v>
      </c>
      <c r="C37" s="1" t="s">
        <v>33</v>
      </c>
      <c r="D37">
        <v>21</v>
      </c>
      <c r="E37">
        <v>192</v>
      </c>
      <c r="F37" s="1" t="s">
        <v>64</v>
      </c>
      <c r="G37" s="1" t="s">
        <v>64</v>
      </c>
      <c r="H37">
        <v>1411</v>
      </c>
      <c r="I37">
        <f>((player_data_cleaning[[#This Row],[goal]]+ player_data_cleaning[[#This Row],[assistTotal]]) /player_data_cleaning[[#This Row],[Mins Played]])* 90</f>
        <v>0.19135364989369241</v>
      </c>
      <c r="J37">
        <f>player_data_cleaning[[#This Row],[interceptionPerGame]]+player_data_cleaning[[#This Row],[clearancePerGame]]</f>
        <v>11</v>
      </c>
      <c r="K37">
        <f>(player_data_cleaning[[#This Row],[dribbleWonPerGame]]*0.5) + (player_data_cleaning[[#This Row],[keyPassPerGame]]*0.5)</f>
        <v>5</v>
      </c>
      <c r="L37">
        <f t="shared" si="2"/>
        <v>0.20046572846005872</v>
      </c>
      <c r="M37">
        <f t="shared" si="3"/>
        <v>0.14084507042253522</v>
      </c>
      <c r="N37">
        <f>(player_data_cleaning[[#This Row],[BallProferssion&amp;Creativity]]- MIN(K37:K165) )/ (MAX(K37:K165) -MIN(K37:K165))</f>
        <v>0.32258064516129031</v>
      </c>
      <c r="O37">
        <v>3</v>
      </c>
      <c r="P37">
        <v>4</v>
      </c>
      <c r="Q37">
        <v>8</v>
      </c>
      <c r="R37">
        <v>5</v>
      </c>
      <c r="S37">
        <v>2</v>
      </c>
      <c r="T37">
        <v>1</v>
      </c>
      <c r="U37">
        <v>3</v>
      </c>
      <c r="V37">
        <v>7</v>
      </c>
      <c r="W37">
        <v>3</v>
      </c>
      <c r="X37">
        <v>4</v>
      </c>
      <c r="Y37">
        <v>0</v>
      </c>
      <c r="Z37">
        <v>2</v>
      </c>
      <c r="AA37">
        <v>4</v>
      </c>
      <c r="AB37">
        <v>384</v>
      </c>
      <c r="AC37">
        <v>918</v>
      </c>
      <c r="AD37">
        <v>5</v>
      </c>
      <c r="AE37">
        <v>12</v>
      </c>
      <c r="AF37">
        <v>0</v>
      </c>
      <c r="AG37">
        <v>48</v>
      </c>
      <c r="AH37">
        <v>3</v>
      </c>
      <c r="AI37">
        <v>6</v>
      </c>
      <c r="AJ37">
        <v>8</v>
      </c>
      <c r="AK37">
        <v>663</v>
      </c>
    </row>
    <row r="38" spans="1:37" x14ac:dyDescent="0.25">
      <c r="A38" s="1" t="s">
        <v>118</v>
      </c>
      <c r="B38" s="1" t="s">
        <v>119</v>
      </c>
      <c r="C38" s="1" t="s">
        <v>33</v>
      </c>
      <c r="D38">
        <v>21</v>
      </c>
      <c r="E38">
        <v>179</v>
      </c>
      <c r="F38" s="1" t="s">
        <v>45</v>
      </c>
      <c r="G38" s="1" t="s">
        <v>45</v>
      </c>
      <c r="H38">
        <v>1787</v>
      </c>
      <c r="I38">
        <f>((player_data_cleaning[[#This Row],[goal]]+ player_data_cleaning[[#This Row],[assistTotal]]) /player_data_cleaning[[#This Row],[Mins Played]])* 90</f>
        <v>0.15109121432568551</v>
      </c>
      <c r="J38">
        <f>player_data_cleaning[[#This Row],[interceptionPerGame]]+player_data_cleaning[[#This Row],[clearancePerGame]]</f>
        <v>17</v>
      </c>
      <c r="K38">
        <f>(player_data_cleaning[[#This Row],[dribbleWonPerGame]]*0.5) + (player_data_cleaning[[#This Row],[keyPassPerGame]]*0.5)</f>
        <v>4</v>
      </c>
      <c r="L38">
        <f t="shared" si="2"/>
        <v>0.15828603405548006</v>
      </c>
      <c r="M38">
        <f t="shared" si="3"/>
        <v>0.22535211267605634</v>
      </c>
      <c r="N38">
        <f>(player_data_cleaning[[#This Row],[BallProferssion&amp;Creativity]]- MIN(K38:K166) )/ (MAX(K38:K166) -MIN(K38:K166))</f>
        <v>0.25806451612903225</v>
      </c>
      <c r="O38">
        <v>16</v>
      </c>
      <c r="P38">
        <v>13</v>
      </c>
      <c r="Q38">
        <v>1</v>
      </c>
      <c r="R38">
        <v>7</v>
      </c>
      <c r="S38">
        <v>2</v>
      </c>
      <c r="T38">
        <v>1</v>
      </c>
      <c r="U38">
        <v>15</v>
      </c>
      <c r="V38">
        <v>7</v>
      </c>
      <c r="W38">
        <v>1</v>
      </c>
      <c r="X38">
        <v>14</v>
      </c>
      <c r="Y38">
        <v>0</v>
      </c>
      <c r="Z38">
        <v>11</v>
      </c>
      <c r="AA38">
        <v>11</v>
      </c>
      <c r="AB38">
        <v>343</v>
      </c>
      <c r="AC38">
        <v>878</v>
      </c>
      <c r="AD38">
        <v>0</v>
      </c>
      <c r="AE38">
        <v>21</v>
      </c>
      <c r="AF38">
        <v>1</v>
      </c>
      <c r="AG38">
        <v>228</v>
      </c>
      <c r="AH38">
        <v>11</v>
      </c>
      <c r="AI38">
        <v>34</v>
      </c>
      <c r="AJ38">
        <v>7</v>
      </c>
      <c r="AK38">
        <v>695</v>
      </c>
    </row>
    <row r="39" spans="1:37" x14ac:dyDescent="0.25">
      <c r="A39" s="1" t="s">
        <v>120</v>
      </c>
      <c r="B39" s="1" t="s">
        <v>53</v>
      </c>
      <c r="C39" s="1" t="s">
        <v>54</v>
      </c>
      <c r="D39">
        <v>21</v>
      </c>
      <c r="E39">
        <v>195</v>
      </c>
      <c r="F39" s="1" t="s">
        <v>39</v>
      </c>
      <c r="G39" s="1" t="s">
        <v>39</v>
      </c>
      <c r="H39">
        <v>1717</v>
      </c>
      <c r="I39">
        <f>((player_data_cleaning[[#This Row],[goal]]+ player_data_cleaning[[#This Row],[assistTotal]]) /player_data_cleaning[[#This Row],[Mins Played]])* 90</f>
        <v>0.73383808969132214</v>
      </c>
      <c r="J39">
        <f>player_data_cleaning[[#This Row],[interceptionPerGame]]+player_data_cleaning[[#This Row],[clearancePerGame]]</f>
        <v>8</v>
      </c>
      <c r="K39">
        <f>(player_data_cleaning[[#This Row],[dribbleWonPerGame]]*0.5) + (player_data_cleaning[[#This Row],[keyPassPerGame]]*0.5)</f>
        <v>8.5</v>
      </c>
      <c r="L39">
        <f t="shared" si="2"/>
        <v>0.76878276062900408</v>
      </c>
      <c r="M39">
        <f t="shared" si="3"/>
        <v>9.8591549295774641E-2</v>
      </c>
      <c r="N39">
        <f>(player_data_cleaning[[#This Row],[BallProferssion&amp;Creativity]]- MIN(K39:K167) )/ (MAX(K39:K167) -MIN(K39:K167))</f>
        <v>0.54838709677419351</v>
      </c>
      <c r="O39">
        <v>2</v>
      </c>
      <c r="P39">
        <v>8</v>
      </c>
      <c r="Q39">
        <v>6</v>
      </c>
      <c r="R39">
        <v>3</v>
      </c>
      <c r="S39">
        <v>10</v>
      </c>
      <c r="T39">
        <v>4</v>
      </c>
      <c r="U39">
        <v>2</v>
      </c>
      <c r="V39">
        <v>5</v>
      </c>
      <c r="W39">
        <v>12</v>
      </c>
      <c r="X39">
        <v>6</v>
      </c>
      <c r="Y39">
        <v>5</v>
      </c>
      <c r="Z39">
        <v>17</v>
      </c>
      <c r="AA39">
        <v>2</v>
      </c>
      <c r="AB39">
        <v>193</v>
      </c>
      <c r="AC39">
        <v>673</v>
      </c>
      <c r="AD39">
        <v>0</v>
      </c>
      <c r="AE39">
        <v>1</v>
      </c>
      <c r="AF39">
        <v>0</v>
      </c>
      <c r="AG39">
        <v>723</v>
      </c>
      <c r="AH39">
        <v>38</v>
      </c>
      <c r="AI39">
        <v>46</v>
      </c>
      <c r="AJ39">
        <v>16</v>
      </c>
      <c r="AK39">
        <v>695</v>
      </c>
    </row>
    <row r="40" spans="1:37" x14ac:dyDescent="0.25">
      <c r="A40" s="1" t="s">
        <v>121</v>
      </c>
      <c r="B40" s="1" t="s">
        <v>122</v>
      </c>
      <c r="C40" s="1" t="s">
        <v>123</v>
      </c>
      <c r="D40">
        <v>21</v>
      </c>
      <c r="E40">
        <v>178</v>
      </c>
      <c r="F40" s="1" t="s">
        <v>59</v>
      </c>
      <c r="G40" s="1" t="s">
        <v>59</v>
      </c>
      <c r="H40">
        <v>1661</v>
      </c>
      <c r="I40">
        <f>((player_data_cleaning[[#This Row],[goal]]+ player_data_cleaning[[#This Row],[assistTotal]]) /player_data_cleaning[[#This Row],[Mins Played]])* 90</f>
        <v>0.21673690547862734</v>
      </c>
      <c r="J40">
        <f>player_data_cleaning[[#This Row],[interceptionPerGame]]+player_data_cleaning[[#This Row],[clearancePerGame]]</f>
        <v>36</v>
      </c>
      <c r="K40">
        <f>(player_data_cleaning[[#This Row],[dribbleWonPerGame]]*0.5) + (player_data_cleaning[[#This Row],[keyPassPerGame]]*0.5)</f>
        <v>3</v>
      </c>
      <c r="L40">
        <f t="shared" si="2"/>
        <v>0.2270577105014191</v>
      </c>
      <c r="M40">
        <f t="shared" si="3"/>
        <v>0.49295774647887325</v>
      </c>
      <c r="N40">
        <f>(player_data_cleaning[[#This Row],[BallProferssion&amp;Creativity]]- MIN(K40:K168) )/ (MAX(K40:K168) -MIN(K40:K168))</f>
        <v>0.19354838709677419</v>
      </c>
      <c r="O40">
        <v>11</v>
      </c>
      <c r="P40">
        <v>9</v>
      </c>
      <c r="Q40">
        <v>25</v>
      </c>
      <c r="R40">
        <v>5</v>
      </c>
      <c r="S40">
        <v>2</v>
      </c>
      <c r="T40">
        <v>2</v>
      </c>
      <c r="U40">
        <v>3</v>
      </c>
      <c r="V40">
        <v>4</v>
      </c>
      <c r="W40">
        <v>2</v>
      </c>
      <c r="X40">
        <v>6</v>
      </c>
      <c r="Y40">
        <v>0</v>
      </c>
      <c r="Z40">
        <v>0</v>
      </c>
      <c r="AA40">
        <v>5</v>
      </c>
      <c r="AB40">
        <v>472</v>
      </c>
      <c r="AC40">
        <v>86</v>
      </c>
      <c r="AD40">
        <v>0</v>
      </c>
      <c r="AE40">
        <v>2</v>
      </c>
      <c r="AF40">
        <v>0</v>
      </c>
      <c r="AG40">
        <v>213</v>
      </c>
      <c r="AH40">
        <v>12</v>
      </c>
      <c r="AI40">
        <v>7</v>
      </c>
      <c r="AJ40">
        <v>3</v>
      </c>
      <c r="AK40">
        <v>661</v>
      </c>
    </row>
    <row r="41" spans="1:37" x14ac:dyDescent="0.25">
      <c r="A41" s="1" t="s">
        <v>124</v>
      </c>
      <c r="B41" s="1" t="s">
        <v>47</v>
      </c>
      <c r="C41" s="1" t="s">
        <v>37</v>
      </c>
      <c r="D41">
        <v>21</v>
      </c>
      <c r="E41">
        <v>180</v>
      </c>
      <c r="F41" s="1" t="s">
        <v>81</v>
      </c>
      <c r="G41" s="1" t="s">
        <v>81</v>
      </c>
      <c r="H41">
        <v>1031</v>
      </c>
      <c r="I41">
        <f>((player_data_cleaning[[#This Row],[goal]]+ player_data_cleaning[[#This Row],[assistTotal]]) /player_data_cleaning[[#This Row],[Mins Played]])* 90</f>
        <v>0.17458777885548013</v>
      </c>
      <c r="J41">
        <f>player_data_cleaning[[#This Row],[interceptionPerGame]]+player_data_cleaning[[#This Row],[clearancePerGame]]</f>
        <v>13</v>
      </c>
      <c r="K41">
        <f>(player_data_cleaning[[#This Row],[dribbleWonPerGame]]*0.5) + (player_data_cleaning[[#This Row],[keyPassPerGame]]*0.5)</f>
        <v>5</v>
      </c>
      <c r="L41">
        <f t="shared" si="2"/>
        <v>0.18290148261050299</v>
      </c>
      <c r="M41">
        <f t="shared" si="3"/>
        <v>0.16901408450704225</v>
      </c>
      <c r="N41">
        <f>(player_data_cleaning[[#This Row],[BallProferssion&amp;Creativity]]- MIN(K41:K169) )/ (MAX(K41:K169) -MIN(K41:K169))</f>
        <v>0.32258064516129031</v>
      </c>
      <c r="O41">
        <v>8</v>
      </c>
      <c r="P41">
        <v>11</v>
      </c>
      <c r="Q41">
        <v>5</v>
      </c>
      <c r="R41">
        <v>5</v>
      </c>
      <c r="S41">
        <v>1</v>
      </c>
      <c r="T41">
        <v>1</v>
      </c>
      <c r="U41">
        <v>6</v>
      </c>
      <c r="V41">
        <v>9</v>
      </c>
      <c r="W41">
        <v>1</v>
      </c>
      <c r="X41">
        <v>4</v>
      </c>
      <c r="Y41">
        <v>2</v>
      </c>
      <c r="Z41">
        <v>1</v>
      </c>
      <c r="AA41">
        <v>19</v>
      </c>
      <c r="AB41">
        <v>208</v>
      </c>
      <c r="AC41">
        <v>802</v>
      </c>
      <c r="AD41">
        <v>1</v>
      </c>
      <c r="AE41">
        <v>4</v>
      </c>
      <c r="AF41">
        <v>1</v>
      </c>
      <c r="AG41">
        <v>185</v>
      </c>
      <c r="AH41">
        <v>16</v>
      </c>
      <c r="AI41">
        <v>11</v>
      </c>
      <c r="AJ41">
        <v>17</v>
      </c>
      <c r="AK41">
        <v>659</v>
      </c>
    </row>
    <row r="42" spans="1:37" x14ac:dyDescent="0.25">
      <c r="A42" s="1" t="s">
        <v>125</v>
      </c>
      <c r="B42" s="1" t="s">
        <v>122</v>
      </c>
      <c r="C42" s="1" t="s">
        <v>123</v>
      </c>
      <c r="D42">
        <v>21</v>
      </c>
      <c r="E42">
        <v>176</v>
      </c>
      <c r="F42" s="1" t="s">
        <v>126</v>
      </c>
      <c r="G42" s="1" t="s">
        <v>126</v>
      </c>
      <c r="H42">
        <v>1387</v>
      </c>
      <c r="I42">
        <f>((player_data_cleaning[[#This Row],[goal]]+ player_data_cleaning[[#This Row],[assistTotal]]) /player_data_cleaning[[#This Row],[Mins Played]])* 90</f>
        <v>0.38932948810382118</v>
      </c>
      <c r="J42">
        <f>player_data_cleaning[[#This Row],[interceptionPerGame]]+player_data_cleaning[[#This Row],[clearancePerGame]]</f>
        <v>10</v>
      </c>
      <c r="K42">
        <f>(player_data_cleaning[[#This Row],[dribbleWonPerGame]]*0.5) + (player_data_cleaning[[#This Row],[keyPassPerGame]]*0.5)</f>
        <v>10</v>
      </c>
      <c r="L42">
        <f t="shared" si="2"/>
        <v>0.40786898753733647</v>
      </c>
      <c r="M42">
        <f t="shared" si="3"/>
        <v>0.12676056338028169</v>
      </c>
      <c r="N42">
        <f>(player_data_cleaning[[#This Row],[BallProferssion&amp;Creativity]]- MIN(K42:K170) )/ (MAX(K42:K170) -MIN(K42:K170))</f>
        <v>0.64516129032258063</v>
      </c>
      <c r="O42">
        <v>3</v>
      </c>
      <c r="P42">
        <v>1</v>
      </c>
      <c r="Q42">
        <v>7</v>
      </c>
      <c r="R42">
        <v>4</v>
      </c>
      <c r="S42">
        <v>4</v>
      </c>
      <c r="T42">
        <v>2</v>
      </c>
      <c r="U42">
        <v>1</v>
      </c>
      <c r="V42">
        <v>7</v>
      </c>
      <c r="W42">
        <v>13</v>
      </c>
      <c r="X42">
        <v>6</v>
      </c>
      <c r="Y42">
        <v>1</v>
      </c>
      <c r="Z42">
        <v>5</v>
      </c>
      <c r="AA42">
        <v>13</v>
      </c>
      <c r="AB42">
        <v>336</v>
      </c>
      <c r="AC42">
        <v>79</v>
      </c>
      <c r="AD42">
        <v>2</v>
      </c>
      <c r="AE42">
        <v>7</v>
      </c>
      <c r="AF42">
        <v>0</v>
      </c>
      <c r="AG42">
        <v>265</v>
      </c>
      <c r="AH42">
        <v>17</v>
      </c>
      <c r="AI42">
        <v>22</v>
      </c>
      <c r="AJ42">
        <v>12</v>
      </c>
      <c r="AK42">
        <v>658</v>
      </c>
    </row>
    <row r="43" spans="1:37" x14ac:dyDescent="0.25">
      <c r="A43" s="1" t="s">
        <v>127</v>
      </c>
      <c r="B43" s="1" t="s">
        <v>128</v>
      </c>
      <c r="C43" s="1" t="s">
        <v>44</v>
      </c>
      <c r="D43">
        <v>20</v>
      </c>
      <c r="E43">
        <v>179</v>
      </c>
      <c r="F43" s="1" t="s">
        <v>69</v>
      </c>
      <c r="G43" s="1" t="s">
        <v>70</v>
      </c>
      <c r="H43">
        <v>2193</v>
      </c>
      <c r="I43">
        <f>((player_data_cleaning[[#This Row],[goal]]+ player_data_cleaning[[#This Row],[assistTotal]]) /player_data_cleaning[[#This Row],[Mins Played]])* 90</f>
        <v>0.16415868673050615</v>
      </c>
      <c r="J43">
        <f>player_data_cleaning[[#This Row],[interceptionPerGame]]+player_data_cleaning[[#This Row],[clearancePerGame]]</f>
        <v>26</v>
      </c>
      <c r="K43">
        <f>(player_data_cleaning[[#This Row],[dribbleWonPerGame]]*0.5) + (player_data_cleaning[[#This Row],[keyPassPerGame]]*0.5)</f>
        <v>8.5</v>
      </c>
      <c r="L43">
        <f t="shared" si="2"/>
        <v>0.17197576705100645</v>
      </c>
      <c r="M43">
        <f t="shared" si="3"/>
        <v>0.352112676056338</v>
      </c>
      <c r="N43">
        <f>(player_data_cleaning[[#This Row],[BallProferssion&amp;Creativity]]- MIN(K43:K171) )/ (MAX(K43:K171) -MIN(K43:K171))</f>
        <v>0.54838709677419351</v>
      </c>
      <c r="O43">
        <v>7</v>
      </c>
      <c r="P43">
        <v>3</v>
      </c>
      <c r="Q43">
        <v>19</v>
      </c>
      <c r="R43">
        <v>13</v>
      </c>
      <c r="S43">
        <v>0</v>
      </c>
      <c r="T43">
        <v>4</v>
      </c>
      <c r="U43">
        <v>4</v>
      </c>
      <c r="V43">
        <v>13</v>
      </c>
      <c r="W43">
        <v>4</v>
      </c>
      <c r="X43">
        <v>8</v>
      </c>
      <c r="Y43">
        <v>0</v>
      </c>
      <c r="Z43">
        <v>7</v>
      </c>
      <c r="AA43">
        <v>12</v>
      </c>
      <c r="AB43">
        <v>486</v>
      </c>
      <c r="AC43">
        <v>854</v>
      </c>
      <c r="AD43">
        <v>12</v>
      </c>
      <c r="AE43">
        <v>21</v>
      </c>
      <c r="AF43">
        <v>0</v>
      </c>
      <c r="AG43">
        <v>47</v>
      </c>
      <c r="AH43">
        <v>2</v>
      </c>
      <c r="AI43">
        <v>11</v>
      </c>
      <c r="AJ43">
        <v>4</v>
      </c>
      <c r="AK43">
        <v>693</v>
      </c>
    </row>
    <row r="44" spans="1:37" x14ac:dyDescent="0.25">
      <c r="A44" s="1" t="s">
        <v>129</v>
      </c>
      <c r="B44" s="1" t="s">
        <v>115</v>
      </c>
      <c r="C44" s="1" t="s">
        <v>37</v>
      </c>
      <c r="D44">
        <v>21</v>
      </c>
      <c r="E44">
        <v>176</v>
      </c>
      <c r="F44" s="1" t="s">
        <v>83</v>
      </c>
      <c r="G44" s="1" t="s">
        <v>83</v>
      </c>
      <c r="H44">
        <v>871</v>
      </c>
      <c r="I44">
        <f>((player_data_cleaning[[#This Row],[goal]]+ player_data_cleaning[[#This Row],[assistTotal]]) /player_data_cleaning[[#This Row],[Mins Played]])* 90</f>
        <v>0.20665901262916189</v>
      </c>
      <c r="J44">
        <f>player_data_cleaning[[#This Row],[interceptionPerGame]]+player_data_cleaning[[#This Row],[clearancePerGame]]</f>
        <v>4</v>
      </c>
      <c r="K44">
        <f>(player_data_cleaning[[#This Row],[dribbleWonPerGame]]*0.5) + (player_data_cleaning[[#This Row],[keyPassPerGame]]*0.5)</f>
        <v>5</v>
      </c>
      <c r="L44">
        <f t="shared" si="2"/>
        <v>0.2164999179924553</v>
      </c>
      <c r="M44">
        <f t="shared" si="3"/>
        <v>4.2253521126760563E-2</v>
      </c>
      <c r="N44">
        <f>(player_data_cleaning[[#This Row],[BallProferssion&amp;Creativity]]- MIN(K44:K172) )/ (MAX(K44:K172) -MIN(K44:K172))</f>
        <v>0.32258064516129031</v>
      </c>
      <c r="O44">
        <v>2</v>
      </c>
      <c r="P44">
        <v>5</v>
      </c>
      <c r="Q44">
        <v>2</v>
      </c>
      <c r="R44">
        <v>4</v>
      </c>
      <c r="S44">
        <v>2</v>
      </c>
      <c r="T44">
        <v>0</v>
      </c>
      <c r="U44">
        <v>14</v>
      </c>
      <c r="V44">
        <v>9</v>
      </c>
      <c r="W44">
        <v>1</v>
      </c>
      <c r="X44">
        <v>1</v>
      </c>
      <c r="Y44">
        <v>1</v>
      </c>
      <c r="Z44">
        <v>7</v>
      </c>
      <c r="AA44">
        <v>18</v>
      </c>
      <c r="AB44">
        <v>228</v>
      </c>
      <c r="AC44">
        <v>809</v>
      </c>
      <c r="AD44">
        <v>8</v>
      </c>
      <c r="AE44">
        <v>11</v>
      </c>
      <c r="AF44">
        <v>2</v>
      </c>
      <c r="AG44">
        <v>123</v>
      </c>
      <c r="AH44">
        <v>13</v>
      </c>
      <c r="AI44">
        <v>24</v>
      </c>
      <c r="AJ44">
        <v>5</v>
      </c>
      <c r="AK44">
        <v>657</v>
      </c>
    </row>
    <row r="45" spans="1:37" x14ac:dyDescent="0.25">
      <c r="A45" s="1" t="s">
        <v>130</v>
      </c>
      <c r="B45" s="1" t="s">
        <v>99</v>
      </c>
      <c r="C45" s="1" t="s">
        <v>33</v>
      </c>
      <c r="D45">
        <v>20</v>
      </c>
      <c r="E45">
        <v>178</v>
      </c>
      <c r="F45" s="1" t="s">
        <v>73</v>
      </c>
      <c r="G45" s="1" t="s">
        <v>39</v>
      </c>
      <c r="H45">
        <v>1456</v>
      </c>
      <c r="I45">
        <f>((player_data_cleaning[[#This Row],[goal]]+ player_data_cleaning[[#This Row],[assistTotal]]) /player_data_cleaning[[#This Row],[Mins Played]])* 90</f>
        <v>0.55631868131868134</v>
      </c>
      <c r="J45">
        <f>player_data_cleaning[[#This Row],[interceptionPerGame]]+player_data_cleaning[[#This Row],[clearancePerGame]]</f>
        <v>3</v>
      </c>
      <c r="K45">
        <f>(player_data_cleaning[[#This Row],[dribbleWonPerGame]]*0.5) + (player_data_cleaning[[#This Row],[keyPassPerGame]]*0.5)</f>
        <v>11.5</v>
      </c>
      <c r="L45">
        <f t="shared" si="2"/>
        <v>0.58281004709576134</v>
      </c>
      <c r="M45">
        <f t="shared" si="3"/>
        <v>2.8169014084507043E-2</v>
      </c>
      <c r="N45">
        <f>(player_data_cleaning[[#This Row],[BallProferssion&amp;Creativity]]- MIN(K45:K173) )/ (MAX(K45:K173) -MIN(K45:K173))</f>
        <v>0.74193548387096775</v>
      </c>
      <c r="O45">
        <v>3</v>
      </c>
      <c r="P45">
        <v>1</v>
      </c>
      <c r="Q45">
        <v>0</v>
      </c>
      <c r="R45">
        <v>4</v>
      </c>
      <c r="S45">
        <v>6</v>
      </c>
      <c r="T45">
        <v>3</v>
      </c>
      <c r="U45">
        <v>22</v>
      </c>
      <c r="V45">
        <v>11</v>
      </c>
      <c r="W45">
        <v>12</v>
      </c>
      <c r="X45">
        <v>21</v>
      </c>
      <c r="Y45">
        <v>1</v>
      </c>
      <c r="Z45">
        <v>12</v>
      </c>
      <c r="AA45">
        <v>22</v>
      </c>
      <c r="AB45">
        <v>313</v>
      </c>
      <c r="AC45">
        <v>819</v>
      </c>
      <c r="AD45">
        <v>4</v>
      </c>
      <c r="AE45">
        <v>6</v>
      </c>
      <c r="AF45">
        <v>2</v>
      </c>
      <c r="AG45">
        <v>626</v>
      </c>
      <c r="AH45">
        <v>39</v>
      </c>
      <c r="AI45">
        <v>52</v>
      </c>
      <c r="AJ45">
        <v>12</v>
      </c>
      <c r="AK45">
        <v>693</v>
      </c>
    </row>
    <row r="46" spans="1:37" x14ac:dyDescent="0.25">
      <c r="A46" s="1" t="s">
        <v>131</v>
      </c>
      <c r="B46" s="1" t="s">
        <v>132</v>
      </c>
      <c r="C46" s="1" t="s">
        <v>33</v>
      </c>
      <c r="D46">
        <v>21</v>
      </c>
      <c r="E46">
        <v>186</v>
      </c>
      <c r="F46" s="1" t="s">
        <v>64</v>
      </c>
      <c r="G46" s="1" t="s">
        <v>81</v>
      </c>
      <c r="H46">
        <v>1105</v>
      </c>
      <c r="I46">
        <f>((player_data_cleaning[[#This Row],[goal]]+ player_data_cleaning[[#This Row],[assistTotal]]) /player_data_cleaning[[#This Row],[Mins Played]])* 90</f>
        <v>0.57013574660633481</v>
      </c>
      <c r="J46">
        <f>player_data_cleaning[[#This Row],[interceptionPerGame]]+player_data_cleaning[[#This Row],[clearancePerGame]]</f>
        <v>8</v>
      </c>
      <c r="K46">
        <f>(player_data_cleaning[[#This Row],[dribbleWonPerGame]]*0.5) + (player_data_cleaning[[#This Row],[keyPassPerGame]]*0.5)</f>
        <v>4.5</v>
      </c>
      <c r="L46">
        <f t="shared" si="2"/>
        <v>0.59728506787330315</v>
      </c>
      <c r="M46">
        <f t="shared" si="3"/>
        <v>9.8591549295774641E-2</v>
      </c>
      <c r="N46">
        <f>(player_data_cleaning[[#This Row],[BallProferssion&amp;Creativity]]- MIN(K46:K174) )/ (MAX(K46:K174) -MIN(K46:K174))</f>
        <v>0.29032258064516131</v>
      </c>
      <c r="O46">
        <v>4</v>
      </c>
      <c r="P46">
        <v>3</v>
      </c>
      <c r="Q46">
        <v>4</v>
      </c>
      <c r="R46">
        <v>5</v>
      </c>
      <c r="S46">
        <v>4</v>
      </c>
      <c r="T46">
        <v>3</v>
      </c>
      <c r="U46">
        <v>6</v>
      </c>
      <c r="V46">
        <v>7</v>
      </c>
      <c r="W46">
        <v>2</v>
      </c>
      <c r="X46">
        <v>2</v>
      </c>
      <c r="Y46">
        <v>0</v>
      </c>
      <c r="Z46">
        <v>5</v>
      </c>
      <c r="AA46">
        <v>5</v>
      </c>
      <c r="AB46">
        <v>164</v>
      </c>
      <c r="AC46">
        <v>852</v>
      </c>
      <c r="AD46">
        <v>1</v>
      </c>
      <c r="AE46">
        <v>1</v>
      </c>
      <c r="AF46">
        <v>0</v>
      </c>
      <c r="AG46">
        <v>237</v>
      </c>
      <c r="AH46">
        <v>19</v>
      </c>
      <c r="AI46">
        <v>12</v>
      </c>
      <c r="AJ46">
        <v>2</v>
      </c>
      <c r="AK46">
        <v>652</v>
      </c>
    </row>
    <row r="47" spans="1:37" x14ac:dyDescent="0.25">
      <c r="A47" s="1" t="s">
        <v>133</v>
      </c>
      <c r="B47" s="1" t="s">
        <v>77</v>
      </c>
      <c r="C47" s="1" t="s">
        <v>44</v>
      </c>
      <c r="D47">
        <v>21</v>
      </c>
      <c r="E47">
        <v>185</v>
      </c>
      <c r="F47" s="1" t="s">
        <v>39</v>
      </c>
      <c r="G47" s="1" t="s">
        <v>39</v>
      </c>
      <c r="H47">
        <v>1528</v>
      </c>
      <c r="I47">
        <f>((player_data_cleaning[[#This Row],[goal]]+ player_data_cleaning[[#This Row],[assistTotal]]) /player_data_cleaning[[#This Row],[Mins Played]])* 90</f>
        <v>0.29450261780104714</v>
      </c>
      <c r="J47">
        <f>player_data_cleaning[[#This Row],[interceptionPerGame]]+player_data_cleaning[[#This Row],[clearancePerGame]]</f>
        <v>5</v>
      </c>
      <c r="K47">
        <f>(player_data_cleaning[[#This Row],[dribbleWonPerGame]]*0.5) + (player_data_cleaning[[#This Row],[keyPassPerGame]]*0.5)</f>
        <v>7</v>
      </c>
      <c r="L47">
        <f t="shared" si="2"/>
        <v>0.30852655198204937</v>
      </c>
      <c r="M47">
        <f t="shared" si="3"/>
        <v>5.6338028169014086E-2</v>
      </c>
      <c r="N47">
        <f>(player_data_cleaning[[#This Row],[BallProferssion&amp;Creativity]]- MIN(K47:K175) )/ (MAX(K47:K175) -MIN(K47:K175))</f>
        <v>0.45161290322580644</v>
      </c>
      <c r="O47">
        <v>1</v>
      </c>
      <c r="P47">
        <v>12</v>
      </c>
      <c r="Q47">
        <v>4</v>
      </c>
      <c r="R47">
        <v>4</v>
      </c>
      <c r="S47">
        <v>4</v>
      </c>
      <c r="T47">
        <v>1</v>
      </c>
      <c r="U47">
        <v>12</v>
      </c>
      <c r="V47">
        <v>5</v>
      </c>
      <c r="W47">
        <v>9</v>
      </c>
      <c r="X47">
        <v>11</v>
      </c>
      <c r="Y47">
        <v>5</v>
      </c>
      <c r="Z47">
        <v>15</v>
      </c>
      <c r="AA47">
        <v>25</v>
      </c>
      <c r="AB47">
        <v>148</v>
      </c>
      <c r="AC47">
        <v>84</v>
      </c>
      <c r="AD47">
        <v>1</v>
      </c>
      <c r="AE47">
        <v>1</v>
      </c>
      <c r="AF47">
        <v>0</v>
      </c>
      <c r="AG47">
        <v>589</v>
      </c>
      <c r="AH47">
        <v>35</v>
      </c>
      <c r="AI47">
        <v>26</v>
      </c>
      <c r="AJ47">
        <v>23</v>
      </c>
      <c r="AK47">
        <v>651</v>
      </c>
    </row>
    <row r="48" spans="1:37" x14ac:dyDescent="0.25">
      <c r="A48" s="1" t="s">
        <v>134</v>
      </c>
      <c r="B48" s="1" t="s">
        <v>32</v>
      </c>
      <c r="C48" s="1" t="s">
        <v>33</v>
      </c>
      <c r="D48">
        <v>21</v>
      </c>
      <c r="E48">
        <v>174</v>
      </c>
      <c r="F48" s="1" t="s">
        <v>73</v>
      </c>
      <c r="G48" s="1" t="s">
        <v>73</v>
      </c>
      <c r="H48">
        <v>641</v>
      </c>
      <c r="I48">
        <f>((player_data_cleaning[[#This Row],[goal]]+ player_data_cleaning[[#This Row],[assistTotal]]) /player_data_cleaning[[#This Row],[Mins Played]])* 90</f>
        <v>0.702028081123245</v>
      </c>
      <c r="J48">
        <f>player_data_cleaning[[#This Row],[interceptionPerGame]]+player_data_cleaning[[#This Row],[clearancePerGame]]</f>
        <v>3</v>
      </c>
      <c r="K48">
        <f>(player_data_cleaning[[#This Row],[dribbleWonPerGame]]*0.5) + (player_data_cleaning[[#This Row],[keyPassPerGame]]*0.5)</f>
        <v>5</v>
      </c>
      <c r="L48">
        <f t="shared" si="2"/>
        <v>0.73545798974816134</v>
      </c>
      <c r="M48">
        <f t="shared" si="3"/>
        <v>2.8169014084507043E-2</v>
      </c>
      <c r="N48">
        <f>(player_data_cleaning[[#This Row],[BallProferssion&amp;Creativity]]- MIN(K48:K176) )/ (MAX(K48:K176) -MIN(K48:K176))</f>
        <v>0.32258064516129031</v>
      </c>
      <c r="O48">
        <v>2</v>
      </c>
      <c r="P48">
        <v>8</v>
      </c>
      <c r="Q48">
        <v>1</v>
      </c>
      <c r="R48">
        <v>8</v>
      </c>
      <c r="S48">
        <v>3</v>
      </c>
      <c r="T48">
        <v>2</v>
      </c>
      <c r="U48">
        <v>11</v>
      </c>
      <c r="V48">
        <v>4</v>
      </c>
      <c r="W48">
        <v>6</v>
      </c>
      <c r="X48">
        <v>7</v>
      </c>
      <c r="Y48">
        <v>1</v>
      </c>
      <c r="Z48">
        <v>2</v>
      </c>
      <c r="AA48">
        <v>11</v>
      </c>
      <c r="AB48">
        <v>174</v>
      </c>
      <c r="AC48">
        <v>855</v>
      </c>
      <c r="AD48">
        <v>3</v>
      </c>
      <c r="AE48">
        <v>7</v>
      </c>
      <c r="AF48">
        <v>1</v>
      </c>
      <c r="AG48">
        <v>241</v>
      </c>
      <c r="AH48">
        <v>34</v>
      </c>
      <c r="AI48">
        <v>18</v>
      </c>
      <c r="AJ48">
        <v>13</v>
      </c>
      <c r="AK48">
        <v>644</v>
      </c>
    </row>
    <row r="49" spans="1:37" x14ac:dyDescent="0.25">
      <c r="A49" s="1" t="s">
        <v>135</v>
      </c>
      <c r="B49" s="1" t="s">
        <v>136</v>
      </c>
      <c r="C49" s="1" t="s">
        <v>33</v>
      </c>
      <c r="D49">
        <v>21</v>
      </c>
      <c r="E49">
        <v>180</v>
      </c>
      <c r="F49" s="1" t="s">
        <v>81</v>
      </c>
      <c r="G49" s="1" t="s">
        <v>81</v>
      </c>
      <c r="H49">
        <v>769</v>
      </c>
      <c r="I49">
        <f>((player_data_cleaning[[#This Row],[goal]]+ player_data_cleaning[[#This Row],[assistTotal]]) /player_data_cleaning[[#This Row],[Mins Played]])* 90</f>
        <v>0</v>
      </c>
      <c r="J49">
        <f>player_data_cleaning[[#This Row],[interceptionPerGame]]+player_data_cleaning[[#This Row],[clearancePerGame]]</f>
        <v>5</v>
      </c>
      <c r="K49">
        <f>(player_data_cleaning[[#This Row],[dribbleWonPerGame]]*0.5) + (player_data_cleaning[[#This Row],[keyPassPerGame]]*0.5)</f>
        <v>3.5</v>
      </c>
      <c r="L49">
        <f t="shared" si="2"/>
        <v>0</v>
      </c>
      <c r="M49">
        <f t="shared" si="3"/>
        <v>5.6338028169014086E-2</v>
      </c>
      <c r="N49">
        <f>(player_data_cleaning[[#This Row],[BallProferssion&amp;Creativity]]- MIN(K49:K177) )/ (MAX(K49:K177) -MIN(K49:K177))</f>
        <v>0.22580645161290322</v>
      </c>
      <c r="O49">
        <v>4</v>
      </c>
      <c r="P49">
        <v>4</v>
      </c>
      <c r="Q49">
        <v>1</v>
      </c>
      <c r="R49">
        <v>9</v>
      </c>
      <c r="S49">
        <v>0</v>
      </c>
      <c r="T49">
        <v>0</v>
      </c>
      <c r="U49">
        <v>4</v>
      </c>
      <c r="V49">
        <v>3</v>
      </c>
      <c r="W49">
        <v>4</v>
      </c>
      <c r="X49">
        <v>3</v>
      </c>
      <c r="Y49">
        <v>1</v>
      </c>
      <c r="Z49">
        <v>6</v>
      </c>
      <c r="AA49">
        <v>7</v>
      </c>
      <c r="AB49">
        <v>20</v>
      </c>
      <c r="AC49">
        <v>869</v>
      </c>
      <c r="AD49">
        <v>1</v>
      </c>
      <c r="AE49">
        <v>13</v>
      </c>
      <c r="AF49">
        <v>0</v>
      </c>
      <c r="AG49">
        <v>69</v>
      </c>
      <c r="AH49">
        <v>8</v>
      </c>
      <c r="AI49">
        <v>9</v>
      </c>
      <c r="AJ49">
        <v>8</v>
      </c>
      <c r="AK49">
        <v>637</v>
      </c>
    </row>
    <row r="50" spans="1:37" x14ac:dyDescent="0.25">
      <c r="A50" s="1" t="s">
        <v>137</v>
      </c>
      <c r="B50" s="1" t="s">
        <v>138</v>
      </c>
      <c r="C50" s="1" t="s">
        <v>33</v>
      </c>
      <c r="D50">
        <v>21</v>
      </c>
      <c r="E50">
        <v>183</v>
      </c>
      <c r="F50" s="1" t="s">
        <v>62</v>
      </c>
      <c r="G50" s="1" t="s">
        <v>62</v>
      </c>
      <c r="H50">
        <v>733</v>
      </c>
      <c r="I50">
        <f>((player_data_cleaning[[#This Row],[goal]]+ player_data_cleaning[[#This Row],[assistTotal]]) /player_data_cleaning[[#This Row],[Mins Played]])* 90</f>
        <v>0.36834924965893584</v>
      </c>
      <c r="J50">
        <f>player_data_cleaning[[#This Row],[interceptionPerGame]]+player_data_cleaning[[#This Row],[clearancePerGame]]</f>
        <v>5</v>
      </c>
      <c r="K50">
        <f>(player_data_cleaning[[#This Row],[dribbleWonPerGame]]*0.5) + (player_data_cleaning[[#This Row],[keyPassPerGame]]*0.5)</f>
        <v>4</v>
      </c>
      <c r="L50">
        <f t="shared" si="2"/>
        <v>0.38588969011888513</v>
      </c>
      <c r="M50">
        <f t="shared" si="3"/>
        <v>5.6338028169014086E-2</v>
      </c>
      <c r="N50">
        <f>(player_data_cleaning[[#This Row],[BallProferssion&amp;Creativity]]- MIN(K50:K178) )/ (MAX(K50:K178) -MIN(K50:K178))</f>
        <v>0.25806451612903225</v>
      </c>
      <c r="O50">
        <v>1</v>
      </c>
      <c r="P50">
        <v>4</v>
      </c>
      <c r="Q50">
        <v>4</v>
      </c>
      <c r="R50">
        <v>0</v>
      </c>
      <c r="S50">
        <v>1</v>
      </c>
      <c r="T50">
        <v>2</v>
      </c>
      <c r="U50">
        <v>5</v>
      </c>
      <c r="V50">
        <v>4</v>
      </c>
      <c r="W50">
        <v>4</v>
      </c>
      <c r="X50">
        <v>6</v>
      </c>
      <c r="Y50">
        <v>0</v>
      </c>
      <c r="Z50">
        <v>7</v>
      </c>
      <c r="AA50">
        <v>7</v>
      </c>
      <c r="AB50">
        <v>81</v>
      </c>
      <c r="AC50">
        <v>713</v>
      </c>
      <c r="AD50">
        <v>1</v>
      </c>
      <c r="AE50">
        <v>2</v>
      </c>
      <c r="AF50">
        <v>0</v>
      </c>
      <c r="AG50">
        <v>112</v>
      </c>
      <c r="AH50">
        <v>14</v>
      </c>
      <c r="AI50">
        <v>10</v>
      </c>
      <c r="AJ50">
        <v>11</v>
      </c>
      <c r="AK50">
        <v>631</v>
      </c>
    </row>
    <row r="51" spans="1:37" x14ac:dyDescent="0.25">
      <c r="A51" s="1" t="s">
        <v>139</v>
      </c>
      <c r="B51" s="1" t="s">
        <v>140</v>
      </c>
      <c r="C51" s="1" t="s">
        <v>33</v>
      </c>
      <c r="D51">
        <v>21</v>
      </c>
      <c r="E51">
        <v>186</v>
      </c>
      <c r="F51" s="1" t="s">
        <v>39</v>
      </c>
      <c r="G51" s="1" t="s">
        <v>39</v>
      </c>
      <c r="H51">
        <v>946</v>
      </c>
      <c r="I51">
        <f>((player_data_cleaning[[#This Row],[goal]]+ player_data_cleaning[[#This Row],[assistTotal]]) /player_data_cleaning[[#This Row],[Mins Played]])* 90</f>
        <v>9.5137420718816076E-2</v>
      </c>
      <c r="J51">
        <f>player_data_cleaning[[#This Row],[interceptionPerGame]]+player_data_cleaning[[#This Row],[clearancePerGame]]</f>
        <v>11</v>
      </c>
      <c r="K51">
        <f>(player_data_cleaning[[#This Row],[dribbleWonPerGame]]*0.5) + (player_data_cleaning[[#This Row],[keyPassPerGame]]*0.5)</f>
        <v>1</v>
      </c>
      <c r="L51">
        <f t="shared" si="2"/>
        <v>9.9667774086378738E-2</v>
      </c>
      <c r="M51">
        <f t="shared" si="3"/>
        <v>0.14084507042253522</v>
      </c>
      <c r="N51">
        <f>(player_data_cleaning[[#This Row],[BallProferssion&amp;Creativity]]- MIN(K51:K179) )/ (MAX(K51:K179) -MIN(K51:K179))</f>
        <v>6.4516129032258063E-2</v>
      </c>
      <c r="O51">
        <v>2</v>
      </c>
      <c r="P51">
        <v>8</v>
      </c>
      <c r="Q51">
        <v>9</v>
      </c>
      <c r="R51">
        <v>3</v>
      </c>
      <c r="S51">
        <v>1</v>
      </c>
      <c r="T51">
        <v>0</v>
      </c>
      <c r="U51">
        <v>8</v>
      </c>
      <c r="V51">
        <v>1</v>
      </c>
      <c r="W51">
        <v>1</v>
      </c>
      <c r="X51">
        <v>13</v>
      </c>
      <c r="Y51">
        <v>3</v>
      </c>
      <c r="Z51">
        <v>5</v>
      </c>
      <c r="AA51">
        <v>15</v>
      </c>
      <c r="AB51">
        <v>78</v>
      </c>
      <c r="AC51">
        <v>654</v>
      </c>
      <c r="AD51">
        <v>0</v>
      </c>
      <c r="AE51">
        <v>2</v>
      </c>
      <c r="AF51">
        <v>0</v>
      </c>
      <c r="AG51">
        <v>211</v>
      </c>
      <c r="AH51">
        <v>2</v>
      </c>
      <c r="AI51">
        <v>15</v>
      </c>
      <c r="AJ51">
        <v>14</v>
      </c>
      <c r="AK51">
        <v>625</v>
      </c>
    </row>
    <row r="52" spans="1:37" x14ac:dyDescent="0.25">
      <c r="A52" s="1" t="s">
        <v>141</v>
      </c>
      <c r="B52" s="1" t="s">
        <v>119</v>
      </c>
      <c r="C52" s="1" t="s">
        <v>33</v>
      </c>
      <c r="D52">
        <v>20</v>
      </c>
      <c r="E52">
        <v>180</v>
      </c>
      <c r="F52" s="1" t="s">
        <v>34</v>
      </c>
      <c r="G52" s="1" t="s">
        <v>34</v>
      </c>
      <c r="H52">
        <v>1107</v>
      </c>
      <c r="I52">
        <f>((player_data_cleaning[[#This Row],[goal]]+ player_data_cleaning[[#This Row],[assistTotal]]) /player_data_cleaning[[#This Row],[Mins Played]])* 90</f>
        <v>0.65040650406504064</v>
      </c>
      <c r="J52">
        <f>player_data_cleaning[[#This Row],[interceptionPerGame]]+player_data_cleaning[[#This Row],[clearancePerGame]]</f>
        <v>11</v>
      </c>
      <c r="K52">
        <f>(player_data_cleaning[[#This Row],[dribbleWonPerGame]]*0.5) + (player_data_cleaning[[#This Row],[keyPassPerGame]]*0.5)</f>
        <v>12.5</v>
      </c>
      <c r="L52">
        <f t="shared" si="2"/>
        <v>0.68137824235385203</v>
      </c>
      <c r="M52">
        <f t="shared" si="3"/>
        <v>0.14084507042253522</v>
      </c>
      <c r="N52">
        <f>(player_data_cleaning[[#This Row],[BallProferssion&amp;Creativity]]- MIN(K52:K180) )/ (MAX(K52:K180) -MIN(K52:K180))</f>
        <v>0.80645161290322576</v>
      </c>
      <c r="O52">
        <v>4</v>
      </c>
      <c r="P52">
        <v>7</v>
      </c>
      <c r="Q52">
        <v>7</v>
      </c>
      <c r="R52">
        <v>9</v>
      </c>
      <c r="S52">
        <v>5</v>
      </c>
      <c r="T52">
        <v>3</v>
      </c>
      <c r="U52">
        <v>1</v>
      </c>
      <c r="V52">
        <v>9</v>
      </c>
      <c r="W52">
        <v>16</v>
      </c>
      <c r="X52">
        <v>3</v>
      </c>
      <c r="Y52">
        <v>1</v>
      </c>
      <c r="Z52">
        <v>5</v>
      </c>
      <c r="AA52">
        <v>13</v>
      </c>
      <c r="AB52">
        <v>117</v>
      </c>
      <c r="AC52">
        <v>667</v>
      </c>
      <c r="AD52">
        <v>8</v>
      </c>
      <c r="AE52">
        <v>3</v>
      </c>
      <c r="AF52">
        <v>0</v>
      </c>
      <c r="AG52">
        <v>461</v>
      </c>
      <c r="AH52">
        <v>37</v>
      </c>
      <c r="AI52">
        <v>23</v>
      </c>
      <c r="AJ52">
        <v>2</v>
      </c>
      <c r="AK52">
        <v>687</v>
      </c>
    </row>
    <row r="53" spans="1:37" x14ac:dyDescent="0.25">
      <c r="A53" s="1" t="s">
        <v>142</v>
      </c>
      <c r="B53" s="1" t="s">
        <v>143</v>
      </c>
      <c r="C53" s="1" t="s">
        <v>33</v>
      </c>
      <c r="D53">
        <v>20</v>
      </c>
      <c r="E53">
        <v>188</v>
      </c>
      <c r="F53" s="1" t="s">
        <v>45</v>
      </c>
      <c r="G53" s="1" t="s">
        <v>45</v>
      </c>
      <c r="H53">
        <v>1049</v>
      </c>
      <c r="I53">
        <f>((player_data_cleaning[[#This Row],[goal]]+ player_data_cleaning[[#This Row],[assistTotal]]) /player_data_cleaning[[#This Row],[Mins Played]])* 90</f>
        <v>8.5795996186844609E-2</v>
      </c>
      <c r="J53">
        <f>player_data_cleaning[[#This Row],[interceptionPerGame]]+player_data_cleaning[[#This Row],[clearancePerGame]]</f>
        <v>8</v>
      </c>
      <c r="K53">
        <f>(player_data_cleaning[[#This Row],[dribbleWonPerGame]]*0.5) + (player_data_cleaning[[#This Row],[keyPassPerGame]]*0.5)</f>
        <v>3</v>
      </c>
      <c r="L53">
        <f t="shared" si="2"/>
        <v>8.988151981478959E-2</v>
      </c>
      <c r="M53">
        <f t="shared" si="3"/>
        <v>9.8591549295774641E-2</v>
      </c>
      <c r="N53">
        <f>(player_data_cleaning[[#This Row],[BallProferssion&amp;Creativity]]- MIN(K53:K181) )/ (MAX(K53:K181) -MIN(K53:K181))</f>
        <v>0.19354838709677419</v>
      </c>
      <c r="O53">
        <v>2</v>
      </c>
      <c r="P53">
        <v>9</v>
      </c>
      <c r="Q53">
        <v>6</v>
      </c>
      <c r="R53">
        <v>6</v>
      </c>
      <c r="S53">
        <v>1</v>
      </c>
      <c r="T53">
        <v>0</v>
      </c>
      <c r="U53">
        <v>5</v>
      </c>
      <c r="V53">
        <v>3</v>
      </c>
      <c r="W53">
        <v>3</v>
      </c>
      <c r="X53">
        <v>3</v>
      </c>
      <c r="Y53">
        <v>0</v>
      </c>
      <c r="Z53">
        <v>1</v>
      </c>
      <c r="AA53">
        <v>7</v>
      </c>
      <c r="AB53">
        <v>756</v>
      </c>
      <c r="AC53">
        <v>943</v>
      </c>
      <c r="AD53">
        <v>1</v>
      </c>
      <c r="AE53">
        <v>23</v>
      </c>
      <c r="AF53">
        <v>0</v>
      </c>
      <c r="AG53">
        <v>69</v>
      </c>
      <c r="AH53">
        <v>6</v>
      </c>
      <c r="AI53">
        <v>7</v>
      </c>
      <c r="AJ53">
        <v>1</v>
      </c>
      <c r="AK53">
        <v>682</v>
      </c>
    </row>
    <row r="54" spans="1:37" x14ac:dyDescent="0.25">
      <c r="A54" s="1" t="s">
        <v>144</v>
      </c>
      <c r="B54" s="1" t="s">
        <v>32</v>
      </c>
      <c r="C54" s="1" t="s">
        <v>33</v>
      </c>
      <c r="D54">
        <v>21</v>
      </c>
      <c r="E54">
        <v>175</v>
      </c>
      <c r="F54" s="1" t="s">
        <v>145</v>
      </c>
      <c r="G54" s="1" t="s">
        <v>70</v>
      </c>
      <c r="H54">
        <v>1794</v>
      </c>
      <c r="I54">
        <f>((player_data_cleaning[[#This Row],[goal]]+ player_data_cleaning[[#This Row],[assistTotal]]) /player_data_cleaning[[#This Row],[Mins Played]])* 90</f>
        <v>0.15050167224080269</v>
      </c>
      <c r="J54">
        <f>player_data_cleaning[[#This Row],[interceptionPerGame]]+player_data_cleaning[[#This Row],[clearancePerGame]]</f>
        <v>9</v>
      </c>
      <c r="K54">
        <f>(player_data_cleaning[[#This Row],[dribbleWonPerGame]]*0.5) + (player_data_cleaning[[#This Row],[keyPassPerGame]]*0.5)</f>
        <v>9</v>
      </c>
      <c r="L54">
        <f t="shared" si="2"/>
        <v>0.15766841853798377</v>
      </c>
      <c r="M54">
        <f t="shared" si="3"/>
        <v>0.11267605633802817</v>
      </c>
      <c r="N54">
        <f>(player_data_cleaning[[#This Row],[BallProferssion&amp;Creativity]]- MIN(K54:K182) )/ (MAX(K54:K182) -MIN(K54:K182))</f>
        <v>0.58064516129032262</v>
      </c>
      <c r="O54">
        <v>2</v>
      </c>
      <c r="P54">
        <v>5</v>
      </c>
      <c r="Q54">
        <v>7</v>
      </c>
      <c r="R54">
        <v>2</v>
      </c>
      <c r="S54">
        <v>0</v>
      </c>
      <c r="T54">
        <v>3</v>
      </c>
      <c r="U54">
        <v>5</v>
      </c>
      <c r="V54">
        <v>1</v>
      </c>
      <c r="W54">
        <v>17</v>
      </c>
      <c r="X54">
        <v>14</v>
      </c>
      <c r="Y54">
        <v>0</v>
      </c>
      <c r="Z54">
        <v>11</v>
      </c>
      <c r="AA54">
        <v>14</v>
      </c>
      <c r="AB54">
        <v>41</v>
      </c>
      <c r="AC54">
        <v>905</v>
      </c>
      <c r="AD54">
        <v>4</v>
      </c>
      <c r="AE54">
        <v>7</v>
      </c>
      <c r="AF54">
        <v>0</v>
      </c>
      <c r="AG54">
        <v>37</v>
      </c>
      <c r="AH54">
        <v>2</v>
      </c>
      <c r="AI54">
        <v>11</v>
      </c>
      <c r="AJ54">
        <v>3</v>
      </c>
      <c r="AK54">
        <v>682</v>
      </c>
    </row>
    <row r="55" spans="1:37" x14ac:dyDescent="0.25">
      <c r="A55" s="1" t="s">
        <v>146</v>
      </c>
      <c r="B55" s="1" t="s">
        <v>53</v>
      </c>
      <c r="C55" s="1" t="s">
        <v>54</v>
      </c>
      <c r="D55">
        <v>19</v>
      </c>
      <c r="E55">
        <v>183</v>
      </c>
      <c r="F55" s="1" t="s">
        <v>51</v>
      </c>
      <c r="G55" s="1" t="s">
        <v>51</v>
      </c>
      <c r="H55">
        <v>1441</v>
      </c>
      <c r="I55">
        <f>((player_data_cleaning[[#This Row],[goal]]+ player_data_cleaning[[#This Row],[assistTotal]]) /player_data_cleaning[[#This Row],[Mins Played]])* 90</f>
        <v>0.37473976405274112</v>
      </c>
      <c r="J55">
        <f>player_data_cleaning[[#This Row],[interceptionPerGame]]+player_data_cleaning[[#This Row],[clearancePerGame]]</f>
        <v>9</v>
      </c>
      <c r="K55">
        <f>(player_data_cleaning[[#This Row],[dribbleWonPerGame]]*0.5) + (player_data_cleaning[[#This Row],[keyPassPerGame]]*0.5)</f>
        <v>13.5</v>
      </c>
      <c r="L55">
        <f t="shared" si="2"/>
        <v>0.39258451472191924</v>
      </c>
      <c r="M55">
        <f t="shared" si="3"/>
        <v>0.11267605633802817</v>
      </c>
      <c r="N55">
        <f>(player_data_cleaning[[#This Row],[BallProferssion&amp;Creativity]]- MIN(K55:K183) )/ (MAX(K55:K183) -MIN(K55:K183))</f>
        <v>0.87096774193548387</v>
      </c>
      <c r="O55">
        <v>4</v>
      </c>
      <c r="P55">
        <v>7</v>
      </c>
      <c r="Q55">
        <v>5</v>
      </c>
      <c r="R55">
        <v>9</v>
      </c>
      <c r="S55">
        <v>3</v>
      </c>
      <c r="T55">
        <v>3</v>
      </c>
      <c r="U55">
        <v>1</v>
      </c>
      <c r="V55">
        <v>9</v>
      </c>
      <c r="W55">
        <v>18</v>
      </c>
      <c r="X55">
        <v>13</v>
      </c>
      <c r="Y55">
        <v>4</v>
      </c>
      <c r="Z55">
        <v>13</v>
      </c>
      <c r="AA55">
        <v>17</v>
      </c>
      <c r="AB55">
        <v>222</v>
      </c>
      <c r="AC55">
        <v>775</v>
      </c>
      <c r="AD55">
        <v>3</v>
      </c>
      <c r="AE55">
        <v>4</v>
      </c>
      <c r="AF55">
        <v>2</v>
      </c>
      <c r="AG55">
        <v>148</v>
      </c>
      <c r="AH55">
        <v>9</v>
      </c>
      <c r="AI55">
        <v>22</v>
      </c>
      <c r="AJ55">
        <v>7</v>
      </c>
      <c r="AK55">
        <v>681</v>
      </c>
    </row>
    <row r="56" spans="1:37" x14ac:dyDescent="0.25">
      <c r="A56" s="1" t="s">
        <v>147</v>
      </c>
      <c r="B56" s="1" t="s">
        <v>148</v>
      </c>
      <c r="C56" s="1" t="s">
        <v>37</v>
      </c>
      <c r="D56">
        <v>21</v>
      </c>
      <c r="E56">
        <v>193</v>
      </c>
      <c r="F56" s="1" t="s">
        <v>59</v>
      </c>
      <c r="G56" s="1" t="s">
        <v>59</v>
      </c>
      <c r="H56">
        <v>1937</v>
      </c>
      <c r="I56">
        <f>((player_data_cleaning[[#This Row],[goal]]+ player_data_cleaning[[#This Row],[assistTotal]]) /player_data_cleaning[[#This Row],[Mins Played]])* 90</f>
        <v>4.646360351058338E-2</v>
      </c>
      <c r="J56">
        <f>player_data_cleaning[[#This Row],[interceptionPerGame]]+player_data_cleaning[[#This Row],[clearancePerGame]]</f>
        <v>72</v>
      </c>
      <c r="K56">
        <f>(player_data_cleaning[[#This Row],[dribbleWonPerGame]]*0.5) + (player_data_cleaning[[#This Row],[keyPassPerGame]]*0.5)</f>
        <v>0.5</v>
      </c>
      <c r="L56">
        <f t="shared" si="2"/>
        <v>4.8676156058706399E-2</v>
      </c>
      <c r="M56">
        <f t="shared" si="3"/>
        <v>1</v>
      </c>
      <c r="N56">
        <f>(player_data_cleaning[[#This Row],[BallProferssion&amp;Creativity]]- MIN(K56:K184) )/ (MAX(K56:K184) -MIN(K56:K184))</f>
        <v>3.2258064516129031E-2</v>
      </c>
      <c r="O56">
        <v>23</v>
      </c>
      <c r="P56">
        <v>13</v>
      </c>
      <c r="Q56">
        <v>49</v>
      </c>
      <c r="R56">
        <v>3</v>
      </c>
      <c r="S56">
        <v>1</v>
      </c>
      <c r="T56">
        <v>0</v>
      </c>
      <c r="U56">
        <v>3</v>
      </c>
      <c r="V56">
        <v>1</v>
      </c>
      <c r="W56">
        <v>0</v>
      </c>
      <c r="X56">
        <v>0</v>
      </c>
      <c r="Y56">
        <v>0</v>
      </c>
      <c r="Z56">
        <v>1</v>
      </c>
      <c r="AA56">
        <v>2</v>
      </c>
      <c r="AB56">
        <v>331</v>
      </c>
      <c r="AC56">
        <v>819</v>
      </c>
      <c r="AD56">
        <v>0</v>
      </c>
      <c r="AE56">
        <v>14</v>
      </c>
      <c r="AF56">
        <v>0</v>
      </c>
      <c r="AG56">
        <v>7</v>
      </c>
      <c r="AH56">
        <v>3</v>
      </c>
      <c r="AI56">
        <v>7</v>
      </c>
      <c r="AJ56">
        <v>1</v>
      </c>
      <c r="AK56">
        <v>681</v>
      </c>
    </row>
    <row r="57" spans="1:37" x14ac:dyDescent="0.25">
      <c r="A57" s="1" t="s">
        <v>149</v>
      </c>
      <c r="B57" s="1" t="s">
        <v>150</v>
      </c>
      <c r="C57" s="1" t="s">
        <v>50</v>
      </c>
      <c r="D57">
        <v>21</v>
      </c>
      <c r="E57">
        <v>181</v>
      </c>
      <c r="F57" s="1" t="s">
        <v>81</v>
      </c>
      <c r="G57" s="1" t="s">
        <v>81</v>
      </c>
      <c r="H57">
        <v>1562</v>
      </c>
      <c r="I57">
        <f>((player_data_cleaning[[#This Row],[goal]]+ player_data_cleaning[[#This Row],[assistTotal]]) /player_data_cleaning[[#This Row],[Mins Played]])* 90</f>
        <v>0.11523687580025607</v>
      </c>
      <c r="J57">
        <f>player_data_cleaning[[#This Row],[interceptionPerGame]]+player_data_cleaning[[#This Row],[clearancePerGame]]</f>
        <v>23</v>
      </c>
      <c r="K57">
        <f>(player_data_cleaning[[#This Row],[dribbleWonPerGame]]*0.5) + (player_data_cleaning[[#This Row],[keyPassPerGame]]*0.5)</f>
        <v>9</v>
      </c>
      <c r="L57">
        <f t="shared" si="2"/>
        <v>0.12072434607645874</v>
      </c>
      <c r="M57">
        <f t="shared" si="3"/>
        <v>0.30985915492957744</v>
      </c>
      <c r="N57">
        <f>(player_data_cleaning[[#This Row],[BallProferssion&amp;Creativity]]- MIN(K57:K185) )/ (MAX(K57:K185) -MIN(K57:K185))</f>
        <v>0.58064516129032262</v>
      </c>
      <c r="O57">
        <v>12</v>
      </c>
      <c r="P57">
        <v>11</v>
      </c>
      <c r="Q57">
        <v>11</v>
      </c>
      <c r="R57">
        <v>7</v>
      </c>
      <c r="S57">
        <v>0</v>
      </c>
      <c r="T57">
        <v>2</v>
      </c>
      <c r="U57">
        <v>12</v>
      </c>
      <c r="V57">
        <v>9</v>
      </c>
      <c r="W57">
        <v>9</v>
      </c>
      <c r="X57">
        <v>9</v>
      </c>
      <c r="Y57">
        <v>0</v>
      </c>
      <c r="Z57">
        <v>7</v>
      </c>
      <c r="AA57">
        <v>17</v>
      </c>
      <c r="AB57">
        <v>491</v>
      </c>
      <c r="AC57">
        <v>873</v>
      </c>
      <c r="AD57">
        <v>1</v>
      </c>
      <c r="AE57">
        <v>19</v>
      </c>
      <c r="AF57">
        <v>1</v>
      </c>
      <c r="AG57">
        <v>99</v>
      </c>
      <c r="AH57">
        <v>6</v>
      </c>
      <c r="AI57">
        <v>23</v>
      </c>
      <c r="AJ57">
        <v>4</v>
      </c>
      <c r="AK57">
        <v>679</v>
      </c>
    </row>
    <row r="58" spans="1:37" x14ac:dyDescent="0.25">
      <c r="A58" s="1" t="s">
        <v>151</v>
      </c>
      <c r="B58" s="1" t="s">
        <v>113</v>
      </c>
      <c r="C58" s="1" t="s">
        <v>33</v>
      </c>
      <c r="D58">
        <v>21</v>
      </c>
      <c r="E58">
        <v>180</v>
      </c>
      <c r="F58" s="1" t="s">
        <v>69</v>
      </c>
      <c r="G58" s="1" t="s">
        <v>70</v>
      </c>
      <c r="H58">
        <v>2360</v>
      </c>
      <c r="I58">
        <f>((player_data_cleaning[[#This Row],[goal]]+ player_data_cleaning[[#This Row],[assistTotal]]) /player_data_cleaning[[#This Row],[Mins Played]])* 90</f>
        <v>0.22881355932203387</v>
      </c>
      <c r="J58">
        <f>player_data_cleaning[[#This Row],[interceptionPerGame]]+player_data_cleaning[[#This Row],[clearancePerGame]]</f>
        <v>41</v>
      </c>
      <c r="K58">
        <f>(player_data_cleaning[[#This Row],[dribbleWonPerGame]]*0.5) + (player_data_cleaning[[#This Row],[keyPassPerGame]]*0.5)</f>
        <v>7.5</v>
      </c>
      <c r="L58">
        <f t="shared" si="2"/>
        <v>0.23970944309927356</v>
      </c>
      <c r="M58">
        <f t="shared" si="3"/>
        <v>0.56338028169014087</v>
      </c>
      <c r="N58">
        <f>(player_data_cleaning[[#This Row],[BallProferssion&amp;Creativity]]- MIN(K58:K186) )/ (MAX(K58:K186) -MIN(K58:K186))</f>
        <v>0.4838709677419355</v>
      </c>
      <c r="O58">
        <v>12</v>
      </c>
      <c r="P58">
        <v>9</v>
      </c>
      <c r="Q58">
        <v>29</v>
      </c>
      <c r="R58">
        <v>5</v>
      </c>
      <c r="S58">
        <v>2</v>
      </c>
      <c r="T58">
        <v>4</v>
      </c>
      <c r="U58">
        <v>5</v>
      </c>
      <c r="V58">
        <v>9</v>
      </c>
      <c r="W58">
        <v>6</v>
      </c>
      <c r="X58">
        <v>12</v>
      </c>
      <c r="Y58">
        <v>0</v>
      </c>
      <c r="Z58">
        <v>5</v>
      </c>
      <c r="AA58">
        <v>14</v>
      </c>
      <c r="AB58">
        <v>342</v>
      </c>
      <c r="AC58">
        <v>81</v>
      </c>
      <c r="AD58">
        <v>8</v>
      </c>
      <c r="AE58">
        <v>14</v>
      </c>
      <c r="AF58">
        <v>0</v>
      </c>
      <c r="AG58">
        <v>5</v>
      </c>
      <c r="AH58">
        <v>2</v>
      </c>
      <c r="AI58">
        <v>14</v>
      </c>
      <c r="AJ58">
        <v>4</v>
      </c>
      <c r="AK58">
        <v>678</v>
      </c>
    </row>
    <row r="59" spans="1:37" x14ac:dyDescent="0.25">
      <c r="A59" s="1" t="s">
        <v>152</v>
      </c>
      <c r="B59" s="1" t="s">
        <v>47</v>
      </c>
      <c r="C59" s="1" t="s">
        <v>37</v>
      </c>
      <c r="D59">
        <v>21</v>
      </c>
      <c r="E59">
        <v>178</v>
      </c>
      <c r="F59" s="1" t="s">
        <v>51</v>
      </c>
      <c r="G59" s="1" t="s">
        <v>51</v>
      </c>
      <c r="H59">
        <v>1954</v>
      </c>
      <c r="I59">
        <f>((player_data_cleaning[[#This Row],[goal]]+ player_data_cleaning[[#This Row],[assistTotal]]) /player_data_cleaning[[#This Row],[Mins Played]])* 90</f>
        <v>0.32241555783009213</v>
      </c>
      <c r="J59">
        <f>player_data_cleaning[[#This Row],[interceptionPerGame]]+player_data_cleaning[[#This Row],[clearancePerGame]]</f>
        <v>19</v>
      </c>
      <c r="K59">
        <f>(player_data_cleaning[[#This Row],[dribbleWonPerGame]]*0.5) + (player_data_cleaning[[#This Row],[keyPassPerGame]]*0.5)</f>
        <v>2.5</v>
      </c>
      <c r="L59">
        <f t="shared" si="2"/>
        <v>0.33776867963152507</v>
      </c>
      <c r="M59">
        <f t="shared" si="3"/>
        <v>0.25352112676056338</v>
      </c>
      <c r="N59">
        <f>(player_data_cleaning[[#This Row],[BallProferssion&amp;Creativity]]- MIN(K59:K187) )/ (MAX(K59:K187) -MIN(K59:K187))</f>
        <v>0.16129032258064516</v>
      </c>
      <c r="O59">
        <v>5</v>
      </c>
      <c r="P59">
        <v>1</v>
      </c>
      <c r="Q59">
        <v>14</v>
      </c>
      <c r="R59">
        <v>4</v>
      </c>
      <c r="S59">
        <v>4</v>
      </c>
      <c r="T59">
        <v>3</v>
      </c>
      <c r="U59">
        <v>1</v>
      </c>
      <c r="V59">
        <v>1</v>
      </c>
      <c r="W59">
        <v>4</v>
      </c>
      <c r="X59">
        <v>19</v>
      </c>
      <c r="Y59">
        <v>0</v>
      </c>
      <c r="Z59">
        <v>9</v>
      </c>
      <c r="AA59">
        <v>1</v>
      </c>
      <c r="AB59">
        <v>331</v>
      </c>
      <c r="AC59">
        <v>866</v>
      </c>
      <c r="AD59">
        <v>5</v>
      </c>
      <c r="AE59">
        <v>1</v>
      </c>
      <c r="AF59">
        <v>1</v>
      </c>
      <c r="AG59">
        <v>278</v>
      </c>
      <c r="AH59">
        <v>13</v>
      </c>
      <c r="AI59">
        <v>24</v>
      </c>
      <c r="AJ59">
        <v>12</v>
      </c>
      <c r="AK59">
        <v>678</v>
      </c>
    </row>
    <row r="60" spans="1:37" x14ac:dyDescent="0.25">
      <c r="A60" s="1" t="s">
        <v>153</v>
      </c>
      <c r="B60" s="1" t="s">
        <v>80</v>
      </c>
      <c r="C60" s="1" t="s">
        <v>50</v>
      </c>
      <c r="D60">
        <v>21</v>
      </c>
      <c r="E60">
        <v>188</v>
      </c>
      <c r="F60" s="1" t="s">
        <v>59</v>
      </c>
      <c r="G60" s="1" t="s">
        <v>59</v>
      </c>
      <c r="H60">
        <v>1814</v>
      </c>
      <c r="I60">
        <f>((player_data_cleaning[[#This Row],[goal]]+ player_data_cleaning[[#This Row],[assistTotal]]) /player_data_cleaning[[#This Row],[Mins Played]])* 90</f>
        <v>9.9228224917309815E-2</v>
      </c>
      <c r="J60">
        <f>player_data_cleaning[[#This Row],[interceptionPerGame]]+player_data_cleaning[[#This Row],[clearancePerGame]]</f>
        <v>48</v>
      </c>
      <c r="K60">
        <f>(player_data_cleaning[[#This Row],[dribbleWonPerGame]]*0.5) + (player_data_cleaning[[#This Row],[keyPassPerGame]]*0.5)</f>
        <v>3</v>
      </c>
      <c r="L60">
        <f t="shared" si="2"/>
        <v>0.10395337848480075</v>
      </c>
      <c r="M60">
        <f t="shared" si="3"/>
        <v>0.6619718309859155</v>
      </c>
      <c r="N60">
        <f>(player_data_cleaning[[#This Row],[BallProferssion&amp;Creativity]]- MIN(K60:K188) )/ (MAX(K60:K188) -MIN(K60:K188))</f>
        <v>0.19354838709677419</v>
      </c>
      <c r="O60">
        <v>1</v>
      </c>
      <c r="P60">
        <v>1</v>
      </c>
      <c r="Q60">
        <v>47</v>
      </c>
      <c r="R60">
        <v>5</v>
      </c>
      <c r="S60">
        <v>0</v>
      </c>
      <c r="T60">
        <v>2</v>
      </c>
      <c r="U60">
        <v>7</v>
      </c>
      <c r="V60">
        <v>4</v>
      </c>
      <c r="W60">
        <v>2</v>
      </c>
      <c r="X60">
        <v>5</v>
      </c>
      <c r="Y60">
        <v>1</v>
      </c>
      <c r="Z60">
        <v>1</v>
      </c>
      <c r="AA60">
        <v>7</v>
      </c>
      <c r="AB60">
        <v>515</v>
      </c>
      <c r="AC60">
        <v>84</v>
      </c>
      <c r="AD60">
        <v>2</v>
      </c>
      <c r="AE60">
        <v>36</v>
      </c>
      <c r="AF60">
        <v>0</v>
      </c>
      <c r="AG60">
        <v>77</v>
      </c>
      <c r="AH60">
        <v>4</v>
      </c>
      <c r="AI60">
        <v>16</v>
      </c>
      <c r="AJ60">
        <v>5</v>
      </c>
      <c r="AK60">
        <v>678</v>
      </c>
    </row>
    <row r="61" spans="1:37" x14ac:dyDescent="0.25">
      <c r="A61" s="1" t="s">
        <v>154</v>
      </c>
      <c r="B61" s="1" t="s">
        <v>155</v>
      </c>
      <c r="C61" s="1" t="s">
        <v>37</v>
      </c>
      <c r="D61">
        <v>21</v>
      </c>
      <c r="E61">
        <v>182</v>
      </c>
      <c r="F61" s="1" t="s">
        <v>83</v>
      </c>
      <c r="G61" s="1" t="s">
        <v>39</v>
      </c>
      <c r="H61">
        <v>1379</v>
      </c>
      <c r="I61">
        <f>((player_data_cleaning[[#This Row],[goal]]+ player_data_cleaning[[#This Row],[assistTotal]]) /player_data_cleaning[[#This Row],[Mins Played]])* 90</f>
        <v>0.45685279187817257</v>
      </c>
      <c r="J61">
        <f>player_data_cleaning[[#This Row],[interceptionPerGame]]+player_data_cleaning[[#This Row],[clearancePerGame]]</f>
        <v>5</v>
      </c>
      <c r="K61">
        <f>(player_data_cleaning[[#This Row],[dribbleWonPerGame]]*0.5) + (player_data_cleaning[[#This Row],[keyPassPerGame]]*0.5)</f>
        <v>11</v>
      </c>
      <c r="L61">
        <f t="shared" si="2"/>
        <v>0.47860768672951409</v>
      </c>
      <c r="M61">
        <f t="shared" si="3"/>
        <v>5.6338028169014086E-2</v>
      </c>
      <c r="N61">
        <f>(player_data_cleaning[[#This Row],[BallProferssion&amp;Creativity]]- MIN(K61:K189) )/ (MAX(K61:K189) -MIN(K61:K189))</f>
        <v>0.70967741935483875</v>
      </c>
      <c r="O61">
        <v>2</v>
      </c>
      <c r="P61">
        <v>6</v>
      </c>
      <c r="Q61">
        <v>3</v>
      </c>
      <c r="R61">
        <v>4</v>
      </c>
      <c r="S61">
        <v>3</v>
      </c>
      <c r="T61">
        <v>4</v>
      </c>
      <c r="U61">
        <v>16</v>
      </c>
      <c r="V61">
        <v>13</v>
      </c>
      <c r="W61">
        <v>9</v>
      </c>
      <c r="X61">
        <v>17</v>
      </c>
      <c r="Y61">
        <v>5</v>
      </c>
      <c r="Z61">
        <v>12</v>
      </c>
      <c r="AA61">
        <v>28</v>
      </c>
      <c r="AB61">
        <v>181</v>
      </c>
      <c r="AC61">
        <v>776</v>
      </c>
      <c r="AD61">
        <v>4</v>
      </c>
      <c r="AE61">
        <v>2</v>
      </c>
      <c r="AF61">
        <v>2</v>
      </c>
      <c r="AG61">
        <v>251</v>
      </c>
      <c r="AH61">
        <v>16</v>
      </c>
      <c r="AI61">
        <v>31</v>
      </c>
      <c r="AJ61">
        <v>8</v>
      </c>
      <c r="AK61">
        <v>677</v>
      </c>
    </row>
    <row r="62" spans="1:37" x14ac:dyDescent="0.25">
      <c r="A62" s="1" t="s">
        <v>156</v>
      </c>
      <c r="B62" s="1" t="s">
        <v>157</v>
      </c>
      <c r="C62" s="1" t="s">
        <v>44</v>
      </c>
      <c r="D62">
        <v>21</v>
      </c>
      <c r="E62">
        <v>182</v>
      </c>
      <c r="F62" s="1" t="s">
        <v>158</v>
      </c>
      <c r="G62" s="1" t="s">
        <v>39</v>
      </c>
      <c r="H62">
        <v>1916</v>
      </c>
      <c r="I62">
        <f>((player_data_cleaning[[#This Row],[goal]]+ player_data_cleaning[[#This Row],[assistTotal]]) /player_data_cleaning[[#This Row],[Mins Played]])* 90</f>
        <v>0.37578288100208762</v>
      </c>
      <c r="J62">
        <f>player_data_cleaning[[#This Row],[interceptionPerGame]]+player_data_cleaning[[#This Row],[clearancePerGame]]</f>
        <v>2</v>
      </c>
      <c r="K62">
        <f>(player_data_cleaning[[#This Row],[dribbleWonPerGame]]*0.5) + (player_data_cleaning[[#This Row],[keyPassPerGame]]*0.5)</f>
        <v>10</v>
      </c>
      <c r="L62">
        <f t="shared" si="2"/>
        <v>0.39367730390694894</v>
      </c>
      <c r="M62">
        <f t="shared" si="3"/>
        <v>1.4084507042253521E-2</v>
      </c>
      <c r="N62">
        <f>(player_data_cleaning[[#This Row],[BallProferssion&amp;Creativity]]- MIN(K62:K190) )/ (MAX(K62:K190) -MIN(K62:K190))</f>
        <v>0.64516129032258063</v>
      </c>
      <c r="O62">
        <v>1</v>
      </c>
      <c r="P62">
        <v>9</v>
      </c>
      <c r="Q62">
        <v>1</v>
      </c>
      <c r="R62">
        <v>3</v>
      </c>
      <c r="S62">
        <v>7</v>
      </c>
      <c r="T62">
        <v>1</v>
      </c>
      <c r="U62">
        <v>25</v>
      </c>
      <c r="V62">
        <v>8</v>
      </c>
      <c r="W62">
        <v>12</v>
      </c>
      <c r="X62">
        <v>16</v>
      </c>
      <c r="Y62">
        <v>2</v>
      </c>
      <c r="Z62">
        <v>19</v>
      </c>
      <c r="AA62">
        <v>29</v>
      </c>
      <c r="AB62">
        <v>145</v>
      </c>
      <c r="AC62">
        <v>731</v>
      </c>
      <c r="AD62">
        <v>2</v>
      </c>
      <c r="AE62">
        <v>3</v>
      </c>
      <c r="AF62">
        <v>0</v>
      </c>
      <c r="AG62">
        <v>751</v>
      </c>
      <c r="AH62">
        <v>35</v>
      </c>
      <c r="AI62">
        <v>59</v>
      </c>
      <c r="AJ62">
        <v>13</v>
      </c>
      <c r="AK62">
        <v>676</v>
      </c>
    </row>
    <row r="63" spans="1:37" x14ac:dyDescent="0.25">
      <c r="A63" s="1" t="s">
        <v>159</v>
      </c>
      <c r="B63" s="1" t="s">
        <v>41</v>
      </c>
      <c r="C63" s="1" t="s">
        <v>33</v>
      </c>
      <c r="D63">
        <v>19</v>
      </c>
      <c r="E63">
        <v>169</v>
      </c>
      <c r="F63" s="1" t="s">
        <v>70</v>
      </c>
      <c r="G63" s="1" t="s">
        <v>70</v>
      </c>
      <c r="H63">
        <v>1119</v>
      </c>
      <c r="I63">
        <f>((player_data_cleaning[[#This Row],[goal]]+ player_data_cleaning[[#This Row],[assistTotal]]) /player_data_cleaning[[#This Row],[Mins Played]])* 90</f>
        <v>0.5630026809651475</v>
      </c>
      <c r="J63">
        <f>player_data_cleaning[[#This Row],[interceptionPerGame]]+player_data_cleaning[[#This Row],[clearancePerGame]]</f>
        <v>5</v>
      </c>
      <c r="K63">
        <f>(player_data_cleaning[[#This Row],[dribbleWonPerGame]]*0.5) + (player_data_cleaning[[#This Row],[keyPassPerGame]]*0.5)</f>
        <v>7</v>
      </c>
      <c r="L63">
        <f t="shared" si="2"/>
        <v>0.58981233243967834</v>
      </c>
      <c r="M63">
        <f t="shared" si="3"/>
        <v>5.6338028169014086E-2</v>
      </c>
      <c r="N63">
        <f>(player_data_cleaning[[#This Row],[BallProferssion&amp;Creativity]]- MIN(K63:K191) )/ (MAX(K63:K191) -MIN(K63:K191))</f>
        <v>0.45161290322580644</v>
      </c>
      <c r="O63">
        <v>4</v>
      </c>
      <c r="P63">
        <v>3</v>
      </c>
      <c r="Q63">
        <v>1</v>
      </c>
      <c r="R63">
        <v>3</v>
      </c>
      <c r="S63">
        <v>3</v>
      </c>
      <c r="T63">
        <v>4</v>
      </c>
      <c r="U63">
        <v>11</v>
      </c>
      <c r="V63">
        <v>6</v>
      </c>
      <c r="W63">
        <v>8</v>
      </c>
      <c r="X63">
        <v>11</v>
      </c>
      <c r="Y63">
        <v>2</v>
      </c>
      <c r="Z63">
        <v>5</v>
      </c>
      <c r="AA63">
        <v>12</v>
      </c>
      <c r="AB63">
        <v>174</v>
      </c>
      <c r="AC63">
        <v>825</v>
      </c>
      <c r="AD63">
        <v>5</v>
      </c>
      <c r="AE63">
        <v>2</v>
      </c>
      <c r="AF63">
        <v>0</v>
      </c>
      <c r="AG63">
        <v>325</v>
      </c>
      <c r="AH63">
        <v>26</v>
      </c>
      <c r="AI63">
        <v>24</v>
      </c>
      <c r="AJ63">
        <v>14</v>
      </c>
      <c r="AK63">
        <v>675</v>
      </c>
    </row>
    <row r="64" spans="1:37" x14ac:dyDescent="0.25">
      <c r="A64" s="1" t="s">
        <v>160</v>
      </c>
      <c r="B64" s="1" t="s">
        <v>138</v>
      </c>
      <c r="C64" s="1" t="s">
        <v>33</v>
      </c>
      <c r="D64">
        <v>21</v>
      </c>
      <c r="E64">
        <v>177</v>
      </c>
      <c r="F64" s="1" t="s">
        <v>45</v>
      </c>
      <c r="G64" s="1" t="s">
        <v>45</v>
      </c>
      <c r="H64">
        <v>1455</v>
      </c>
      <c r="I64">
        <f>((player_data_cleaning[[#This Row],[goal]]+ player_data_cleaning[[#This Row],[assistTotal]]) /player_data_cleaning[[#This Row],[Mins Played]])* 90</f>
        <v>0.18556701030927836</v>
      </c>
      <c r="J64">
        <f>player_data_cleaning[[#This Row],[interceptionPerGame]]+player_data_cleaning[[#This Row],[clearancePerGame]]</f>
        <v>15</v>
      </c>
      <c r="K64">
        <f>(player_data_cleaning[[#This Row],[dribbleWonPerGame]]*0.5) + (player_data_cleaning[[#This Row],[keyPassPerGame]]*0.5)</f>
        <v>7</v>
      </c>
      <c r="L64">
        <f t="shared" si="2"/>
        <v>0.19440353460972018</v>
      </c>
      <c r="M64">
        <f t="shared" si="3"/>
        <v>0.19718309859154928</v>
      </c>
      <c r="N64">
        <f>(player_data_cleaning[[#This Row],[BallProferssion&amp;Creativity]]- MIN(K64:K192) )/ (MAX(K64:K192) -MIN(K64:K192))</f>
        <v>0.45161290322580644</v>
      </c>
      <c r="O64">
        <v>9</v>
      </c>
      <c r="P64">
        <v>15</v>
      </c>
      <c r="Q64">
        <v>6</v>
      </c>
      <c r="R64">
        <v>13</v>
      </c>
      <c r="S64">
        <v>2</v>
      </c>
      <c r="T64">
        <v>1</v>
      </c>
      <c r="U64">
        <v>7</v>
      </c>
      <c r="V64">
        <v>9</v>
      </c>
      <c r="W64">
        <v>5</v>
      </c>
      <c r="X64">
        <v>11</v>
      </c>
      <c r="Y64">
        <v>0</v>
      </c>
      <c r="Z64">
        <v>7</v>
      </c>
      <c r="AA64">
        <v>9</v>
      </c>
      <c r="AB64">
        <v>316</v>
      </c>
      <c r="AC64">
        <v>846</v>
      </c>
      <c r="AD64">
        <v>3</v>
      </c>
      <c r="AE64">
        <v>2</v>
      </c>
      <c r="AF64">
        <v>0</v>
      </c>
      <c r="AG64">
        <v>101</v>
      </c>
      <c r="AH64">
        <v>6</v>
      </c>
      <c r="AI64">
        <v>16</v>
      </c>
      <c r="AJ64">
        <v>6</v>
      </c>
      <c r="AK64">
        <v>673</v>
      </c>
    </row>
    <row r="65" spans="1:37" x14ac:dyDescent="0.25">
      <c r="A65" s="1" t="s">
        <v>161</v>
      </c>
      <c r="B65" s="1" t="s">
        <v>110</v>
      </c>
      <c r="C65" s="1" t="s">
        <v>33</v>
      </c>
      <c r="D65">
        <v>20</v>
      </c>
      <c r="E65">
        <v>179</v>
      </c>
      <c r="F65" s="1" t="s">
        <v>39</v>
      </c>
      <c r="G65" s="1" t="s">
        <v>39</v>
      </c>
      <c r="H65">
        <v>1967</v>
      </c>
      <c r="I65">
        <f>((player_data_cleaning[[#This Row],[goal]]+ player_data_cleaning[[#This Row],[assistTotal]]) /player_data_cleaning[[#This Row],[Mins Played]])* 90</f>
        <v>0.50330452465683784</v>
      </c>
      <c r="J65">
        <f>player_data_cleaning[[#This Row],[interceptionPerGame]]+player_data_cleaning[[#This Row],[clearancePerGame]]</f>
        <v>8</v>
      </c>
      <c r="K65">
        <f>(player_data_cleaning[[#This Row],[dribbleWonPerGame]]*0.5) + (player_data_cleaning[[#This Row],[keyPassPerGame]]*0.5)</f>
        <v>7.5</v>
      </c>
      <c r="L65">
        <f t="shared" si="2"/>
        <v>0.52727140678335394</v>
      </c>
      <c r="M65">
        <f t="shared" si="3"/>
        <v>9.8591549295774641E-2</v>
      </c>
      <c r="N65">
        <f>(player_data_cleaning[[#This Row],[BallProferssion&amp;Creativity]]- MIN(K65:K193) )/ (MAX(K65:K193) -MIN(K65:K193))</f>
        <v>0.4838709677419355</v>
      </c>
      <c r="O65">
        <v>1</v>
      </c>
      <c r="P65">
        <v>16</v>
      </c>
      <c r="Q65">
        <v>7</v>
      </c>
      <c r="R65">
        <v>3</v>
      </c>
      <c r="S65">
        <v>7</v>
      </c>
      <c r="T65">
        <v>4</v>
      </c>
      <c r="U65">
        <v>2</v>
      </c>
      <c r="V65">
        <v>9</v>
      </c>
      <c r="W65">
        <v>6</v>
      </c>
      <c r="X65">
        <v>16</v>
      </c>
      <c r="Y65">
        <v>3</v>
      </c>
      <c r="Z65">
        <v>2</v>
      </c>
      <c r="AA65">
        <v>21</v>
      </c>
      <c r="AB65">
        <v>138</v>
      </c>
      <c r="AC65">
        <v>794</v>
      </c>
      <c r="AD65">
        <v>0</v>
      </c>
      <c r="AE65">
        <v>1</v>
      </c>
      <c r="AF65">
        <v>1</v>
      </c>
      <c r="AG65">
        <v>68</v>
      </c>
      <c r="AH65">
        <v>31</v>
      </c>
      <c r="AI65">
        <v>53</v>
      </c>
      <c r="AJ65">
        <v>13</v>
      </c>
      <c r="AK65">
        <v>672</v>
      </c>
    </row>
    <row r="66" spans="1:37" x14ac:dyDescent="0.25">
      <c r="A66" s="1" t="s">
        <v>162</v>
      </c>
      <c r="B66" s="1" t="s">
        <v>47</v>
      </c>
      <c r="C66" s="1" t="s">
        <v>37</v>
      </c>
      <c r="D66">
        <v>19</v>
      </c>
      <c r="E66">
        <v>194</v>
      </c>
      <c r="F66" s="1" t="s">
        <v>59</v>
      </c>
      <c r="G66" s="1" t="s">
        <v>59</v>
      </c>
      <c r="H66">
        <v>1579</v>
      </c>
      <c r="I66">
        <f>((player_data_cleaning[[#This Row],[goal]]+ player_data_cleaning[[#This Row],[assistTotal]]) /player_data_cleaning[[#This Row],[Mins Played]])* 90</f>
        <v>5.6998100063331225E-2</v>
      </c>
      <c r="J66">
        <f>player_data_cleaning[[#This Row],[interceptionPerGame]]+player_data_cleaning[[#This Row],[clearancePerGame]]</f>
        <v>44</v>
      </c>
      <c r="K66">
        <f>(player_data_cleaning[[#This Row],[dribbleWonPerGame]]*0.5) + (player_data_cleaning[[#This Row],[keyPassPerGame]]*0.5)</f>
        <v>4.5</v>
      </c>
      <c r="L66">
        <f t="shared" ref="L66:L97" si="4">(I66- MIN($I$2:$I$130) )/( MAX($I$2:$I$130) -MIN($I$2:$I$130))</f>
        <v>5.9712295304442234E-2</v>
      </c>
      <c r="M66">
        <f t="shared" ref="M66:M97" si="5">(J66- MIN($J$2:$J$130) )/ (MAX($J$2:$J$130) -MIN($J$2:$J$130))</f>
        <v>0.60563380281690138</v>
      </c>
      <c r="N66">
        <f>(player_data_cleaning[[#This Row],[BallProferssion&amp;Creativity]]- MIN(K66:K194) )/ (MAX(K66:K194) -MIN(K66:K194))</f>
        <v>0.29032258064516131</v>
      </c>
      <c r="O66">
        <v>1</v>
      </c>
      <c r="P66">
        <v>12</v>
      </c>
      <c r="Q66">
        <v>43</v>
      </c>
      <c r="R66">
        <v>3</v>
      </c>
      <c r="S66">
        <v>0</v>
      </c>
      <c r="T66">
        <v>1</v>
      </c>
      <c r="U66">
        <v>2</v>
      </c>
      <c r="V66">
        <v>3</v>
      </c>
      <c r="W66">
        <v>6</v>
      </c>
      <c r="X66">
        <v>4</v>
      </c>
      <c r="Y66">
        <v>0</v>
      </c>
      <c r="Z66">
        <v>4</v>
      </c>
      <c r="AA66">
        <v>6</v>
      </c>
      <c r="AB66">
        <v>623</v>
      </c>
      <c r="AC66">
        <v>932</v>
      </c>
      <c r="AD66">
        <v>1</v>
      </c>
      <c r="AE66">
        <v>21</v>
      </c>
      <c r="AF66">
        <v>0</v>
      </c>
      <c r="AG66">
        <v>49</v>
      </c>
      <c r="AH66">
        <v>3</v>
      </c>
      <c r="AI66">
        <v>3</v>
      </c>
      <c r="AJ66">
        <v>16</v>
      </c>
      <c r="AK66">
        <v>671</v>
      </c>
    </row>
    <row r="67" spans="1:37" x14ac:dyDescent="0.25">
      <c r="A67" s="1" t="s">
        <v>163</v>
      </c>
      <c r="B67" s="1" t="s">
        <v>75</v>
      </c>
      <c r="C67" s="1" t="s">
        <v>33</v>
      </c>
      <c r="D67">
        <v>21</v>
      </c>
      <c r="E67">
        <v>171</v>
      </c>
      <c r="F67" s="1" t="s">
        <v>111</v>
      </c>
      <c r="G67" s="1" t="s">
        <v>111</v>
      </c>
      <c r="H67">
        <v>1910</v>
      </c>
      <c r="I67">
        <f>((player_data_cleaning[[#This Row],[goal]]+ player_data_cleaning[[#This Row],[assistTotal]]) /player_data_cleaning[[#This Row],[Mins Played]])* 90</f>
        <v>0.18848167539267019</v>
      </c>
      <c r="J67">
        <f>player_data_cleaning[[#This Row],[interceptionPerGame]]+player_data_cleaning[[#This Row],[clearancePerGame]]</f>
        <v>7</v>
      </c>
      <c r="K67">
        <f>(player_data_cleaning[[#This Row],[dribbleWonPerGame]]*0.5) + (player_data_cleaning[[#This Row],[keyPassPerGame]]*0.5)</f>
        <v>15.5</v>
      </c>
      <c r="L67">
        <f t="shared" si="4"/>
        <v>0.19745699326851163</v>
      </c>
      <c r="M67">
        <f t="shared" si="5"/>
        <v>8.4507042253521125E-2</v>
      </c>
      <c r="N67">
        <f>(player_data_cleaning[[#This Row],[BallProferssion&amp;Creativity]]- MIN(K67:K195) )/ (MAX(K67:K195) -MIN(K67:K195))</f>
        <v>1</v>
      </c>
      <c r="O67">
        <v>5</v>
      </c>
      <c r="P67">
        <v>9</v>
      </c>
      <c r="Q67">
        <v>2</v>
      </c>
      <c r="R67">
        <v>9</v>
      </c>
      <c r="S67">
        <v>4</v>
      </c>
      <c r="T67">
        <v>0</v>
      </c>
      <c r="U67">
        <v>21</v>
      </c>
      <c r="V67">
        <v>12</v>
      </c>
      <c r="W67">
        <v>19</v>
      </c>
      <c r="X67">
        <v>1</v>
      </c>
      <c r="Y67">
        <v>0</v>
      </c>
      <c r="Z67">
        <v>14</v>
      </c>
      <c r="AA67">
        <v>2</v>
      </c>
      <c r="AB67">
        <v>275</v>
      </c>
      <c r="AC67">
        <v>836</v>
      </c>
      <c r="AD67">
        <v>2</v>
      </c>
      <c r="AE67">
        <v>4</v>
      </c>
      <c r="AF67">
        <v>2</v>
      </c>
      <c r="AG67">
        <v>489</v>
      </c>
      <c r="AH67">
        <v>23</v>
      </c>
      <c r="AI67">
        <v>52</v>
      </c>
      <c r="AJ67">
        <v>9</v>
      </c>
      <c r="AK67">
        <v>671</v>
      </c>
    </row>
    <row r="68" spans="1:37" x14ac:dyDescent="0.25">
      <c r="A68" s="1" t="s">
        <v>164</v>
      </c>
      <c r="B68" s="1" t="s">
        <v>165</v>
      </c>
      <c r="C68" s="1" t="s">
        <v>33</v>
      </c>
      <c r="D68">
        <v>20</v>
      </c>
      <c r="E68">
        <v>174</v>
      </c>
      <c r="F68" s="1" t="s">
        <v>83</v>
      </c>
      <c r="G68" s="1" t="s">
        <v>83</v>
      </c>
      <c r="H68">
        <v>1275</v>
      </c>
      <c r="I68">
        <f>((player_data_cleaning[[#This Row],[goal]]+ player_data_cleaning[[#This Row],[assistTotal]]) /player_data_cleaning[[#This Row],[Mins Played]])* 90</f>
        <v>0.42352941176470582</v>
      </c>
      <c r="J68">
        <f>player_data_cleaning[[#This Row],[interceptionPerGame]]+player_data_cleaning[[#This Row],[clearancePerGame]]</f>
        <v>7</v>
      </c>
      <c r="K68">
        <f>(player_data_cleaning[[#This Row],[dribbleWonPerGame]]*0.5) + (player_data_cleaning[[#This Row],[keyPassPerGame]]*0.5)</f>
        <v>1</v>
      </c>
      <c r="L68">
        <f t="shared" si="4"/>
        <v>0.44369747899159656</v>
      </c>
      <c r="M68">
        <f t="shared" si="5"/>
        <v>8.4507042253521125E-2</v>
      </c>
      <c r="N68">
        <f>(player_data_cleaning[[#This Row],[BallProferssion&amp;Creativity]]- MIN(K68:K196) )/ (MAX(K68:K196) -MIN(K68:K196))</f>
        <v>7.6923076923076927E-2</v>
      </c>
      <c r="O68">
        <v>4</v>
      </c>
      <c r="P68">
        <v>13</v>
      </c>
      <c r="Q68">
        <v>3</v>
      </c>
      <c r="R68">
        <v>18</v>
      </c>
      <c r="S68">
        <v>4</v>
      </c>
      <c r="T68">
        <v>2</v>
      </c>
      <c r="U68">
        <v>12</v>
      </c>
      <c r="V68">
        <v>1</v>
      </c>
      <c r="W68">
        <v>1</v>
      </c>
      <c r="X68">
        <v>13</v>
      </c>
      <c r="Y68">
        <v>1</v>
      </c>
      <c r="Z68">
        <v>13</v>
      </c>
      <c r="AA68">
        <v>19</v>
      </c>
      <c r="AB68">
        <v>19</v>
      </c>
      <c r="AC68">
        <v>785</v>
      </c>
      <c r="AD68">
        <v>7</v>
      </c>
      <c r="AE68">
        <v>7</v>
      </c>
      <c r="AF68">
        <v>2</v>
      </c>
      <c r="AG68">
        <v>362</v>
      </c>
      <c r="AH68">
        <v>26</v>
      </c>
      <c r="AI68">
        <v>28</v>
      </c>
      <c r="AJ68">
        <v>13</v>
      </c>
      <c r="AK68">
        <v>670</v>
      </c>
    </row>
    <row r="69" spans="1:37" x14ac:dyDescent="0.25">
      <c r="A69" s="1" t="s">
        <v>166</v>
      </c>
      <c r="B69" s="1" t="s">
        <v>88</v>
      </c>
      <c r="C69" s="1" t="s">
        <v>50</v>
      </c>
      <c r="D69">
        <v>21</v>
      </c>
      <c r="E69">
        <v>190</v>
      </c>
      <c r="F69" s="1" t="s">
        <v>39</v>
      </c>
      <c r="G69" s="1" t="s">
        <v>39</v>
      </c>
      <c r="H69">
        <v>1892</v>
      </c>
      <c r="I69">
        <f>((player_data_cleaning[[#This Row],[goal]]+ player_data_cleaning[[#This Row],[assistTotal]]) /player_data_cleaning[[#This Row],[Mins Played]])* 90</f>
        <v>0.23784355179704017</v>
      </c>
      <c r="J69">
        <f>player_data_cleaning[[#This Row],[interceptionPerGame]]+player_data_cleaning[[#This Row],[clearancePerGame]]</f>
        <v>8</v>
      </c>
      <c r="K69">
        <f>(player_data_cleaning[[#This Row],[dribbleWonPerGame]]*0.5) + (player_data_cleaning[[#This Row],[keyPassPerGame]]*0.5)</f>
        <v>10</v>
      </c>
      <c r="L69">
        <f t="shared" si="4"/>
        <v>0.24916943521594684</v>
      </c>
      <c r="M69">
        <f t="shared" si="5"/>
        <v>9.8591549295774641E-2</v>
      </c>
      <c r="N69">
        <f>(player_data_cleaning[[#This Row],[BallProferssion&amp;Creativity]]- MIN(K69:K197) )/ (MAX(K69:K197) -MIN(K69:K197))</f>
        <v>0.76923076923076927</v>
      </c>
      <c r="O69">
        <v>2</v>
      </c>
      <c r="P69">
        <v>17</v>
      </c>
      <c r="Q69">
        <v>6</v>
      </c>
      <c r="R69">
        <v>3</v>
      </c>
      <c r="S69">
        <v>3</v>
      </c>
      <c r="T69">
        <v>2</v>
      </c>
      <c r="U69">
        <v>17</v>
      </c>
      <c r="V69">
        <v>8</v>
      </c>
      <c r="W69">
        <v>12</v>
      </c>
      <c r="X69">
        <v>22</v>
      </c>
      <c r="Y69">
        <v>7</v>
      </c>
      <c r="Z69">
        <v>22</v>
      </c>
      <c r="AA69">
        <v>36</v>
      </c>
      <c r="AB69">
        <v>162</v>
      </c>
      <c r="AC69">
        <v>677</v>
      </c>
      <c r="AD69">
        <v>1</v>
      </c>
      <c r="AE69">
        <v>2</v>
      </c>
      <c r="AF69">
        <v>0</v>
      </c>
      <c r="AG69">
        <v>354</v>
      </c>
      <c r="AH69">
        <v>17</v>
      </c>
      <c r="AI69">
        <v>43</v>
      </c>
      <c r="AJ69">
        <v>8</v>
      </c>
      <c r="AK69">
        <v>668</v>
      </c>
    </row>
    <row r="70" spans="1:37" x14ac:dyDescent="0.25">
      <c r="A70" s="1" t="s">
        <v>167</v>
      </c>
      <c r="B70" s="1" t="s">
        <v>68</v>
      </c>
      <c r="C70" s="1" t="s">
        <v>37</v>
      </c>
      <c r="D70">
        <v>21</v>
      </c>
      <c r="E70">
        <v>191</v>
      </c>
      <c r="F70" s="1" t="s">
        <v>168</v>
      </c>
      <c r="G70" s="1" t="s">
        <v>168</v>
      </c>
      <c r="H70">
        <v>1008</v>
      </c>
      <c r="I70">
        <f>((player_data_cleaning[[#This Row],[goal]]+ player_data_cleaning[[#This Row],[assistTotal]]) /player_data_cleaning[[#This Row],[Mins Played]])* 90</f>
        <v>0.17857142857142855</v>
      </c>
      <c r="J70">
        <f>player_data_cleaning[[#This Row],[interceptionPerGame]]+player_data_cleaning[[#This Row],[clearancePerGame]]</f>
        <v>42</v>
      </c>
      <c r="K70">
        <f>(player_data_cleaning[[#This Row],[dribbleWonPerGame]]*0.5) + (player_data_cleaning[[#This Row],[keyPassPerGame]]*0.5)</f>
        <v>3.5</v>
      </c>
      <c r="L70">
        <f t="shared" si="4"/>
        <v>0.18707482993197275</v>
      </c>
      <c r="M70">
        <f t="shared" si="5"/>
        <v>0.57746478873239437</v>
      </c>
      <c r="N70">
        <f>(player_data_cleaning[[#This Row],[BallProferssion&amp;Creativity]]- MIN(K70:K198) )/ (MAX(K70:K198) -MIN(K70:K198))</f>
        <v>0.26923076923076922</v>
      </c>
      <c r="O70">
        <v>9</v>
      </c>
      <c r="P70">
        <v>11</v>
      </c>
      <c r="Q70">
        <v>33</v>
      </c>
      <c r="R70">
        <v>1</v>
      </c>
      <c r="S70">
        <v>1</v>
      </c>
      <c r="T70">
        <v>1</v>
      </c>
      <c r="U70">
        <v>1</v>
      </c>
      <c r="V70">
        <v>1</v>
      </c>
      <c r="W70">
        <v>6</v>
      </c>
      <c r="X70">
        <v>9</v>
      </c>
      <c r="Y70">
        <v>0</v>
      </c>
      <c r="Z70">
        <v>4</v>
      </c>
      <c r="AA70">
        <v>6</v>
      </c>
      <c r="AB70">
        <v>363</v>
      </c>
      <c r="AC70">
        <v>895</v>
      </c>
      <c r="AD70">
        <v>1</v>
      </c>
      <c r="AE70">
        <v>9</v>
      </c>
      <c r="AF70">
        <v>0</v>
      </c>
      <c r="AG70">
        <v>48</v>
      </c>
      <c r="AH70">
        <v>4</v>
      </c>
      <c r="AI70">
        <v>1</v>
      </c>
      <c r="AJ70">
        <v>48</v>
      </c>
      <c r="AK70">
        <v>668</v>
      </c>
    </row>
    <row r="71" spans="1:37" x14ac:dyDescent="0.25">
      <c r="A71" s="1" t="s">
        <v>169</v>
      </c>
      <c r="B71" s="1" t="s">
        <v>170</v>
      </c>
      <c r="C71" s="1" t="s">
        <v>171</v>
      </c>
      <c r="D71">
        <v>20</v>
      </c>
      <c r="E71">
        <v>182</v>
      </c>
      <c r="F71" s="1" t="s">
        <v>172</v>
      </c>
      <c r="G71" s="1" t="s">
        <v>172</v>
      </c>
      <c r="H71">
        <v>908</v>
      </c>
      <c r="I71">
        <f>((player_data_cleaning[[#This Row],[goal]]+ player_data_cleaning[[#This Row],[assistTotal]]) /player_data_cleaning[[#This Row],[Mins Played]])* 90</f>
        <v>9.911894273127754E-2</v>
      </c>
      <c r="J71">
        <f>player_data_cleaning[[#This Row],[interceptionPerGame]]+player_data_cleaning[[#This Row],[clearancePerGame]]</f>
        <v>14</v>
      </c>
      <c r="K71">
        <f>(player_data_cleaning[[#This Row],[dribbleWonPerGame]]*0.5) + (player_data_cleaning[[#This Row],[keyPassPerGame]]*0.5)</f>
        <v>9</v>
      </c>
      <c r="L71">
        <f t="shared" si="4"/>
        <v>0.10383889238514789</v>
      </c>
      <c r="M71">
        <f t="shared" si="5"/>
        <v>0.18309859154929578</v>
      </c>
      <c r="N71">
        <f>(player_data_cleaning[[#This Row],[BallProferssion&amp;Creativity]]- MIN(K71:K199) )/ (MAX(K71:K199) -MIN(K71:K199))</f>
        <v>0.69230769230769229</v>
      </c>
      <c r="O71">
        <v>7</v>
      </c>
      <c r="P71">
        <v>15</v>
      </c>
      <c r="Q71">
        <v>7</v>
      </c>
      <c r="R71">
        <v>7</v>
      </c>
      <c r="S71">
        <v>0</v>
      </c>
      <c r="T71">
        <v>1</v>
      </c>
      <c r="U71">
        <v>1</v>
      </c>
      <c r="V71">
        <v>13</v>
      </c>
      <c r="W71">
        <v>5</v>
      </c>
      <c r="X71">
        <v>9</v>
      </c>
      <c r="Y71">
        <v>1</v>
      </c>
      <c r="Z71">
        <v>5</v>
      </c>
      <c r="AA71">
        <v>5</v>
      </c>
      <c r="AB71">
        <v>292</v>
      </c>
      <c r="AC71">
        <v>872</v>
      </c>
      <c r="AD71">
        <v>5</v>
      </c>
      <c r="AE71">
        <v>15</v>
      </c>
      <c r="AF71">
        <v>0</v>
      </c>
      <c r="AG71">
        <v>74</v>
      </c>
      <c r="AH71">
        <v>7</v>
      </c>
      <c r="AI71">
        <v>15</v>
      </c>
      <c r="AJ71">
        <v>5</v>
      </c>
      <c r="AK71">
        <v>667</v>
      </c>
    </row>
    <row r="72" spans="1:37" x14ac:dyDescent="0.25">
      <c r="A72" s="1" t="s">
        <v>173</v>
      </c>
      <c r="B72" s="1" t="s">
        <v>174</v>
      </c>
      <c r="C72" s="1" t="s">
        <v>123</v>
      </c>
      <c r="D72">
        <v>20</v>
      </c>
      <c r="E72">
        <v>178</v>
      </c>
      <c r="F72" s="1" t="s">
        <v>73</v>
      </c>
      <c r="G72" s="1" t="s">
        <v>73</v>
      </c>
      <c r="H72">
        <v>2015</v>
      </c>
      <c r="I72">
        <f>((player_data_cleaning[[#This Row],[goal]]+ player_data_cleaning[[#This Row],[assistTotal]]) /player_data_cleaning[[#This Row],[Mins Played]])* 90</f>
        <v>0.13399503722084366</v>
      </c>
      <c r="J72">
        <f>player_data_cleaning[[#This Row],[interceptionPerGame]]+player_data_cleaning[[#This Row],[clearancePerGame]]</f>
        <v>14</v>
      </c>
      <c r="K72">
        <f>(player_data_cleaning[[#This Row],[dribbleWonPerGame]]*0.5) + (player_data_cleaning[[#This Row],[keyPassPerGame]]*0.5)</f>
        <v>8</v>
      </c>
      <c r="L72">
        <f t="shared" si="4"/>
        <v>0.14037575327897905</v>
      </c>
      <c r="M72">
        <f t="shared" si="5"/>
        <v>0.18309859154929578</v>
      </c>
      <c r="N72">
        <f>(player_data_cleaning[[#This Row],[BallProferssion&amp;Creativity]]- MIN(K72:K200) )/ (MAX(K72:K200) -MIN(K72:K200))</f>
        <v>0.61538461538461542</v>
      </c>
      <c r="O72">
        <v>6</v>
      </c>
      <c r="P72">
        <v>13</v>
      </c>
      <c r="Q72">
        <v>8</v>
      </c>
      <c r="R72">
        <v>1</v>
      </c>
      <c r="S72">
        <v>1</v>
      </c>
      <c r="T72">
        <v>2</v>
      </c>
      <c r="U72">
        <v>11</v>
      </c>
      <c r="V72">
        <v>1</v>
      </c>
      <c r="W72">
        <v>15</v>
      </c>
      <c r="X72">
        <v>15</v>
      </c>
      <c r="Y72">
        <v>1</v>
      </c>
      <c r="Z72">
        <v>9</v>
      </c>
      <c r="AA72">
        <v>14</v>
      </c>
      <c r="AB72">
        <v>351</v>
      </c>
      <c r="AC72">
        <v>842</v>
      </c>
      <c r="AD72">
        <v>1</v>
      </c>
      <c r="AE72">
        <v>17</v>
      </c>
      <c r="AF72">
        <v>1</v>
      </c>
      <c r="AG72">
        <v>385</v>
      </c>
      <c r="AH72">
        <v>17</v>
      </c>
      <c r="AI72">
        <v>28</v>
      </c>
      <c r="AJ72">
        <v>14</v>
      </c>
      <c r="AK72">
        <v>665</v>
      </c>
    </row>
    <row r="73" spans="1:37" x14ac:dyDescent="0.25">
      <c r="A73" s="1" t="s">
        <v>175</v>
      </c>
      <c r="B73" s="1" t="s">
        <v>99</v>
      </c>
      <c r="C73" s="1" t="s">
        <v>33</v>
      </c>
      <c r="D73">
        <v>21</v>
      </c>
      <c r="E73">
        <v>190</v>
      </c>
      <c r="F73" s="1" t="s">
        <v>59</v>
      </c>
      <c r="G73" s="1" t="s">
        <v>45</v>
      </c>
      <c r="H73">
        <v>884</v>
      </c>
      <c r="I73">
        <f>((player_data_cleaning[[#This Row],[goal]]+ player_data_cleaning[[#This Row],[assistTotal]]) /player_data_cleaning[[#This Row],[Mins Played]])* 90</f>
        <v>0.10180995475113123</v>
      </c>
      <c r="J73">
        <f>player_data_cleaning[[#This Row],[interceptionPerGame]]+player_data_cleaning[[#This Row],[clearancePerGame]]</f>
        <v>24</v>
      </c>
      <c r="K73">
        <f>(player_data_cleaning[[#This Row],[dribbleWonPerGame]]*0.5) + (player_data_cleaning[[#This Row],[keyPassPerGame]]*0.5)</f>
        <v>5</v>
      </c>
      <c r="L73">
        <f t="shared" si="4"/>
        <v>0.10665804783451843</v>
      </c>
      <c r="M73">
        <f t="shared" si="5"/>
        <v>0.323943661971831</v>
      </c>
      <c r="N73">
        <f>(player_data_cleaning[[#This Row],[BallProferssion&amp;Creativity]]- MIN(K73:K201) )/ (MAX(K73:K201) -MIN(K73:K201))</f>
        <v>0.38461538461538464</v>
      </c>
      <c r="O73">
        <v>13</v>
      </c>
      <c r="P73">
        <v>14</v>
      </c>
      <c r="Q73">
        <v>11</v>
      </c>
      <c r="R73">
        <v>1</v>
      </c>
      <c r="S73">
        <v>0</v>
      </c>
      <c r="T73">
        <v>1</v>
      </c>
      <c r="U73">
        <v>5</v>
      </c>
      <c r="V73">
        <v>3</v>
      </c>
      <c r="W73">
        <v>7</v>
      </c>
      <c r="X73">
        <v>9</v>
      </c>
      <c r="Y73">
        <v>0</v>
      </c>
      <c r="Z73">
        <v>6</v>
      </c>
      <c r="AA73">
        <v>7</v>
      </c>
      <c r="AB73">
        <v>33</v>
      </c>
      <c r="AC73">
        <v>86</v>
      </c>
      <c r="AD73">
        <v>1</v>
      </c>
      <c r="AE73">
        <v>16</v>
      </c>
      <c r="AF73">
        <v>1</v>
      </c>
      <c r="AG73">
        <v>41</v>
      </c>
      <c r="AH73">
        <v>4</v>
      </c>
      <c r="AI73">
        <v>8</v>
      </c>
      <c r="AJ73">
        <v>5</v>
      </c>
      <c r="AK73">
        <v>665</v>
      </c>
    </row>
    <row r="74" spans="1:37" x14ac:dyDescent="0.25">
      <c r="A74" s="1" t="s">
        <v>176</v>
      </c>
      <c r="B74" s="1" t="s">
        <v>177</v>
      </c>
      <c r="C74" s="1" t="s">
        <v>33</v>
      </c>
      <c r="D74">
        <v>20</v>
      </c>
      <c r="E74">
        <v>185</v>
      </c>
      <c r="F74" s="1" t="s">
        <v>59</v>
      </c>
      <c r="G74" s="1" t="s">
        <v>59</v>
      </c>
      <c r="H74">
        <v>1829</v>
      </c>
      <c r="I74">
        <f>((player_data_cleaning[[#This Row],[goal]]+ player_data_cleaning[[#This Row],[assistTotal]]) /player_data_cleaning[[#This Row],[Mins Played]])* 90</f>
        <v>0</v>
      </c>
      <c r="J74">
        <f>player_data_cleaning[[#This Row],[interceptionPerGame]]+player_data_cleaning[[#This Row],[clearancePerGame]]</f>
        <v>39</v>
      </c>
      <c r="K74">
        <f>(player_data_cleaning[[#This Row],[dribbleWonPerGame]]*0.5) + (player_data_cleaning[[#This Row],[keyPassPerGame]]*0.5)</f>
        <v>1</v>
      </c>
      <c r="L74">
        <f t="shared" si="4"/>
        <v>0</v>
      </c>
      <c r="M74">
        <f t="shared" si="5"/>
        <v>0.53521126760563376</v>
      </c>
      <c r="N74">
        <f>(player_data_cleaning[[#This Row],[BallProferssion&amp;Creativity]]- MIN(K74:K202) )/ (MAX(K74:K202) -MIN(K74:K202))</f>
        <v>7.6923076923076927E-2</v>
      </c>
      <c r="O74">
        <v>1</v>
      </c>
      <c r="P74">
        <v>9</v>
      </c>
      <c r="Q74">
        <v>38</v>
      </c>
      <c r="R74">
        <v>3</v>
      </c>
      <c r="S74">
        <v>0</v>
      </c>
      <c r="T74">
        <v>0</v>
      </c>
      <c r="U74">
        <v>2</v>
      </c>
      <c r="V74">
        <v>2</v>
      </c>
      <c r="W74">
        <v>0</v>
      </c>
      <c r="X74">
        <v>5</v>
      </c>
      <c r="Y74">
        <v>0</v>
      </c>
      <c r="Z74">
        <v>1</v>
      </c>
      <c r="AA74">
        <v>6</v>
      </c>
      <c r="AB74">
        <v>443</v>
      </c>
      <c r="AC74">
        <v>865</v>
      </c>
      <c r="AD74">
        <v>0</v>
      </c>
      <c r="AE74">
        <v>25</v>
      </c>
      <c r="AF74">
        <v>0</v>
      </c>
      <c r="AG74">
        <v>47</v>
      </c>
      <c r="AH74">
        <v>2</v>
      </c>
      <c r="AI74">
        <v>4</v>
      </c>
      <c r="AJ74">
        <v>12</v>
      </c>
      <c r="AK74">
        <v>665</v>
      </c>
    </row>
    <row r="75" spans="1:37" x14ac:dyDescent="0.25">
      <c r="A75" s="1" t="s">
        <v>178</v>
      </c>
      <c r="B75" s="1" t="s">
        <v>99</v>
      </c>
      <c r="C75" s="1" t="s">
        <v>33</v>
      </c>
      <c r="D75">
        <v>19</v>
      </c>
      <c r="E75">
        <v>184</v>
      </c>
      <c r="F75" s="1" t="s">
        <v>106</v>
      </c>
      <c r="G75" s="1" t="s">
        <v>106</v>
      </c>
      <c r="H75">
        <v>950</v>
      </c>
      <c r="I75">
        <f>((player_data_cleaning[[#This Row],[goal]]+ player_data_cleaning[[#This Row],[assistTotal]]) /player_data_cleaning[[#This Row],[Mins Played]])* 90</f>
        <v>0</v>
      </c>
      <c r="J75">
        <f>player_data_cleaning[[#This Row],[interceptionPerGame]]+player_data_cleaning[[#This Row],[clearancePerGame]]</f>
        <v>32</v>
      </c>
      <c r="K75">
        <f>(player_data_cleaning[[#This Row],[dribbleWonPerGame]]*0.5) + (player_data_cleaning[[#This Row],[keyPassPerGame]]*0.5)</f>
        <v>3</v>
      </c>
      <c r="L75">
        <f t="shared" si="4"/>
        <v>0</v>
      </c>
      <c r="M75">
        <f t="shared" si="5"/>
        <v>0.43661971830985913</v>
      </c>
      <c r="N75">
        <f>(player_data_cleaning[[#This Row],[BallProferssion&amp;Creativity]]- MIN(K75:K203) )/ (MAX(K75:K203) -MIN(K75:K203))</f>
        <v>0.23076923076923078</v>
      </c>
      <c r="O75">
        <v>16</v>
      </c>
      <c r="P75">
        <v>7</v>
      </c>
      <c r="Q75">
        <v>16</v>
      </c>
      <c r="R75">
        <v>1</v>
      </c>
      <c r="S75">
        <v>0</v>
      </c>
      <c r="T75">
        <v>0</v>
      </c>
      <c r="U75">
        <v>1</v>
      </c>
      <c r="V75">
        <v>1</v>
      </c>
      <c r="W75">
        <v>5</v>
      </c>
      <c r="X75">
        <v>4</v>
      </c>
      <c r="Y75">
        <v>0</v>
      </c>
      <c r="Z75">
        <v>5</v>
      </c>
      <c r="AA75">
        <v>1</v>
      </c>
      <c r="AB75">
        <v>364</v>
      </c>
      <c r="AC75">
        <v>851</v>
      </c>
      <c r="AD75">
        <v>0</v>
      </c>
      <c r="AE75">
        <v>5</v>
      </c>
      <c r="AF75">
        <v>0</v>
      </c>
      <c r="AG75">
        <v>27</v>
      </c>
      <c r="AH75">
        <v>3</v>
      </c>
      <c r="AI75">
        <v>1</v>
      </c>
      <c r="AJ75">
        <v>27</v>
      </c>
      <c r="AK75">
        <v>665</v>
      </c>
    </row>
    <row r="76" spans="1:37" x14ac:dyDescent="0.25">
      <c r="A76" s="1" t="s">
        <v>179</v>
      </c>
      <c r="B76" s="1" t="s">
        <v>180</v>
      </c>
      <c r="C76" s="1" t="s">
        <v>44</v>
      </c>
      <c r="D76">
        <v>17</v>
      </c>
      <c r="E76">
        <v>176</v>
      </c>
      <c r="F76" s="1" t="s">
        <v>34</v>
      </c>
      <c r="G76" s="1" t="s">
        <v>34</v>
      </c>
      <c r="H76">
        <v>532</v>
      </c>
      <c r="I76">
        <f>((player_data_cleaning[[#This Row],[goal]]+ player_data_cleaning[[#This Row],[assistTotal]]) /player_data_cleaning[[#This Row],[Mins Played]])* 90</f>
        <v>0.67669172932330823</v>
      </c>
      <c r="J76">
        <f>player_data_cleaning[[#This Row],[interceptionPerGame]]+player_data_cleaning[[#This Row],[clearancePerGame]]</f>
        <v>2</v>
      </c>
      <c r="K76">
        <f>(player_data_cleaning[[#This Row],[dribbleWonPerGame]]*0.5) + (player_data_cleaning[[#This Row],[keyPassPerGame]]*0.5)</f>
        <v>10</v>
      </c>
      <c r="L76">
        <f t="shared" si="4"/>
        <v>0.70891514500537045</v>
      </c>
      <c r="M76">
        <f t="shared" si="5"/>
        <v>1.4084507042253521E-2</v>
      </c>
      <c r="N76">
        <f>(player_data_cleaning[[#This Row],[BallProferssion&amp;Creativity]]- MIN(K76:K204) )/ (MAX(K76:K204) -MIN(K76:K204))</f>
        <v>0.76923076923076927</v>
      </c>
      <c r="O76">
        <v>1</v>
      </c>
      <c r="P76">
        <v>3</v>
      </c>
      <c r="Q76">
        <v>1</v>
      </c>
      <c r="R76">
        <v>5</v>
      </c>
      <c r="S76">
        <v>3</v>
      </c>
      <c r="T76">
        <v>1</v>
      </c>
      <c r="U76">
        <v>1</v>
      </c>
      <c r="V76">
        <v>5</v>
      </c>
      <c r="W76">
        <v>15</v>
      </c>
      <c r="X76">
        <v>2</v>
      </c>
      <c r="Y76">
        <v>1</v>
      </c>
      <c r="Z76">
        <v>6</v>
      </c>
      <c r="AA76">
        <v>8</v>
      </c>
      <c r="AB76">
        <v>122</v>
      </c>
      <c r="AC76">
        <v>894</v>
      </c>
      <c r="AD76">
        <v>6</v>
      </c>
      <c r="AE76">
        <v>4</v>
      </c>
      <c r="AF76">
        <v>1</v>
      </c>
      <c r="AG76">
        <v>122</v>
      </c>
      <c r="AH76">
        <v>21</v>
      </c>
      <c r="AI76">
        <v>17</v>
      </c>
      <c r="AJ76">
        <v>7</v>
      </c>
      <c r="AK76">
        <v>665</v>
      </c>
    </row>
    <row r="77" spans="1:37" x14ac:dyDescent="0.25">
      <c r="A77" s="1" t="s">
        <v>181</v>
      </c>
      <c r="B77" s="1" t="s">
        <v>68</v>
      </c>
      <c r="C77" s="1" t="s">
        <v>37</v>
      </c>
      <c r="D77">
        <v>20</v>
      </c>
      <c r="E77">
        <v>187</v>
      </c>
      <c r="F77" s="1" t="s">
        <v>45</v>
      </c>
      <c r="G77" s="1" t="s">
        <v>45</v>
      </c>
      <c r="H77">
        <v>1660</v>
      </c>
      <c r="I77">
        <f>((player_data_cleaning[[#This Row],[goal]]+ player_data_cleaning[[#This Row],[assistTotal]]) /player_data_cleaning[[#This Row],[Mins Played]])* 90</f>
        <v>0.16265060240963855</v>
      </c>
      <c r="J77">
        <f>player_data_cleaning[[#This Row],[interceptionPerGame]]+player_data_cleaning[[#This Row],[clearancePerGame]]</f>
        <v>10</v>
      </c>
      <c r="K77">
        <f>(player_data_cleaning[[#This Row],[dribbleWonPerGame]]*0.5) + (player_data_cleaning[[#This Row],[keyPassPerGame]]*0.5)</f>
        <v>4.5</v>
      </c>
      <c r="L77">
        <f t="shared" si="4"/>
        <v>0.1703958691910499</v>
      </c>
      <c r="M77">
        <f t="shared" si="5"/>
        <v>0.12676056338028169</v>
      </c>
      <c r="N77">
        <f>(player_data_cleaning[[#This Row],[BallProferssion&amp;Creativity]]- MIN(K77:K205) )/ (MAX(K77:K205) -MIN(K77:K205))</f>
        <v>0.34615384615384615</v>
      </c>
      <c r="O77">
        <v>9</v>
      </c>
      <c r="P77">
        <v>5</v>
      </c>
      <c r="Q77">
        <v>1</v>
      </c>
      <c r="R77">
        <v>8</v>
      </c>
      <c r="S77">
        <v>3</v>
      </c>
      <c r="T77">
        <v>0</v>
      </c>
      <c r="U77">
        <v>6</v>
      </c>
      <c r="V77">
        <v>7</v>
      </c>
      <c r="W77">
        <v>2</v>
      </c>
      <c r="X77">
        <v>2</v>
      </c>
      <c r="Y77">
        <v>0</v>
      </c>
      <c r="Z77">
        <v>3</v>
      </c>
      <c r="AA77">
        <v>6</v>
      </c>
      <c r="AB77">
        <v>369</v>
      </c>
      <c r="AC77">
        <v>886</v>
      </c>
      <c r="AD77">
        <v>1</v>
      </c>
      <c r="AE77">
        <v>15</v>
      </c>
      <c r="AF77">
        <v>0</v>
      </c>
      <c r="AG77">
        <v>276</v>
      </c>
      <c r="AH77">
        <v>15</v>
      </c>
      <c r="AI77">
        <v>14</v>
      </c>
      <c r="AJ77">
        <v>2</v>
      </c>
      <c r="AK77">
        <v>661</v>
      </c>
    </row>
    <row r="78" spans="1:37" x14ac:dyDescent="0.25">
      <c r="A78" s="1" t="s">
        <v>182</v>
      </c>
      <c r="B78" s="1" t="s">
        <v>119</v>
      </c>
      <c r="C78" s="1" t="s">
        <v>33</v>
      </c>
      <c r="D78">
        <v>21</v>
      </c>
      <c r="E78">
        <v>172</v>
      </c>
      <c r="F78" s="1" t="s">
        <v>81</v>
      </c>
      <c r="G78" s="1" t="s">
        <v>81</v>
      </c>
      <c r="H78">
        <v>1363</v>
      </c>
      <c r="I78">
        <f>((player_data_cleaning[[#This Row],[goal]]+ player_data_cleaning[[#This Row],[assistTotal]]) /player_data_cleaning[[#This Row],[Mins Played]])* 90</f>
        <v>0</v>
      </c>
      <c r="J78">
        <f>player_data_cleaning[[#This Row],[interceptionPerGame]]+player_data_cleaning[[#This Row],[clearancePerGame]]</f>
        <v>14</v>
      </c>
      <c r="K78">
        <f>(player_data_cleaning[[#This Row],[dribbleWonPerGame]]*0.5) + (player_data_cleaning[[#This Row],[keyPassPerGame]]*0.5)</f>
        <v>4</v>
      </c>
      <c r="L78">
        <f t="shared" si="4"/>
        <v>0</v>
      </c>
      <c r="M78">
        <f t="shared" si="5"/>
        <v>0.18309859154929578</v>
      </c>
      <c r="N78">
        <f>(player_data_cleaning[[#This Row],[BallProferssion&amp;Creativity]]- MIN(K78:K206) )/ (MAX(K78:K206) -MIN(K78:K206))</f>
        <v>0.30769230769230771</v>
      </c>
      <c r="O78">
        <v>7</v>
      </c>
      <c r="P78">
        <v>12</v>
      </c>
      <c r="Q78">
        <v>7</v>
      </c>
      <c r="R78">
        <v>1</v>
      </c>
      <c r="S78">
        <v>0</v>
      </c>
      <c r="T78">
        <v>0</v>
      </c>
      <c r="U78">
        <v>7</v>
      </c>
      <c r="V78">
        <v>1</v>
      </c>
      <c r="W78">
        <v>7</v>
      </c>
      <c r="X78">
        <v>8</v>
      </c>
      <c r="Y78">
        <v>1</v>
      </c>
      <c r="Z78">
        <v>8</v>
      </c>
      <c r="AA78">
        <v>12</v>
      </c>
      <c r="AB78">
        <v>269</v>
      </c>
      <c r="AC78">
        <v>846</v>
      </c>
      <c r="AD78">
        <v>5</v>
      </c>
      <c r="AE78">
        <v>3</v>
      </c>
      <c r="AF78">
        <v>0</v>
      </c>
      <c r="AG78">
        <v>158</v>
      </c>
      <c r="AH78">
        <v>1</v>
      </c>
      <c r="AI78">
        <v>17</v>
      </c>
      <c r="AJ78">
        <v>9</v>
      </c>
      <c r="AK78">
        <v>660</v>
      </c>
    </row>
    <row r="79" spans="1:37" x14ac:dyDescent="0.25">
      <c r="A79" s="1" t="s">
        <v>183</v>
      </c>
      <c r="B79" s="1" t="s">
        <v>184</v>
      </c>
      <c r="C79" s="1" t="s">
        <v>33</v>
      </c>
      <c r="D79">
        <v>20</v>
      </c>
      <c r="E79">
        <v>192</v>
      </c>
      <c r="F79" s="1" t="s">
        <v>106</v>
      </c>
      <c r="G79" s="1" t="s">
        <v>106</v>
      </c>
      <c r="H79">
        <v>940</v>
      </c>
      <c r="I79">
        <f>((player_data_cleaning[[#This Row],[goal]]+ player_data_cleaning[[#This Row],[assistTotal]]) /player_data_cleaning[[#This Row],[Mins Played]])* 90</f>
        <v>0</v>
      </c>
      <c r="J79">
        <f>player_data_cleaning[[#This Row],[interceptionPerGame]]+player_data_cleaning[[#This Row],[clearancePerGame]]</f>
        <v>54</v>
      </c>
      <c r="K79">
        <f>(player_data_cleaning[[#This Row],[dribbleWonPerGame]]*0.5) + (player_data_cleaning[[#This Row],[keyPassPerGame]]*0.5)</f>
        <v>1</v>
      </c>
      <c r="L79">
        <f t="shared" si="4"/>
        <v>0</v>
      </c>
      <c r="M79">
        <f t="shared" si="5"/>
        <v>0.74647887323943662</v>
      </c>
      <c r="N79">
        <f>(player_data_cleaning[[#This Row],[BallProferssion&amp;Creativity]]- MIN(K79:K207) )/ (MAX(K79:K207) -MIN(K79:K207))</f>
        <v>7.6923076923076927E-2</v>
      </c>
      <c r="O79">
        <v>18</v>
      </c>
      <c r="P79">
        <v>4</v>
      </c>
      <c r="Q79">
        <v>36</v>
      </c>
      <c r="R79">
        <v>3</v>
      </c>
      <c r="S79">
        <v>0</v>
      </c>
      <c r="T79">
        <v>0</v>
      </c>
      <c r="U79">
        <v>2</v>
      </c>
      <c r="V79">
        <v>2</v>
      </c>
      <c r="W79">
        <v>0</v>
      </c>
      <c r="X79">
        <v>1</v>
      </c>
      <c r="Y79">
        <v>0</v>
      </c>
      <c r="Z79">
        <v>0</v>
      </c>
      <c r="AA79">
        <v>1</v>
      </c>
      <c r="AB79">
        <v>329</v>
      </c>
      <c r="AC79">
        <v>815</v>
      </c>
      <c r="AD79">
        <v>1</v>
      </c>
      <c r="AE79">
        <v>21</v>
      </c>
      <c r="AF79">
        <v>1</v>
      </c>
      <c r="AG79">
        <v>76</v>
      </c>
      <c r="AH79">
        <v>7</v>
      </c>
      <c r="AI79">
        <v>3</v>
      </c>
      <c r="AJ79">
        <v>25</v>
      </c>
      <c r="AK79">
        <v>660</v>
      </c>
    </row>
    <row r="80" spans="1:37" x14ac:dyDescent="0.25">
      <c r="A80" s="1" t="s">
        <v>185</v>
      </c>
      <c r="B80" s="1" t="s">
        <v>186</v>
      </c>
      <c r="C80" s="1" t="s">
        <v>33</v>
      </c>
      <c r="D80">
        <v>20</v>
      </c>
      <c r="E80">
        <v>193</v>
      </c>
      <c r="F80" s="1" t="s">
        <v>69</v>
      </c>
      <c r="G80" s="1" t="s">
        <v>70</v>
      </c>
      <c r="H80">
        <v>1205</v>
      </c>
      <c r="I80">
        <f>((player_data_cleaning[[#This Row],[goal]]+ player_data_cleaning[[#This Row],[assistTotal]]) /player_data_cleaning[[#This Row],[Mins Played]])* 90</f>
        <v>0.29875518672199169</v>
      </c>
      <c r="J80">
        <f>player_data_cleaning[[#This Row],[interceptionPerGame]]+player_data_cleaning[[#This Row],[clearancePerGame]]</f>
        <v>22</v>
      </c>
      <c r="K80">
        <f>(player_data_cleaning[[#This Row],[dribbleWonPerGame]]*0.5) + (player_data_cleaning[[#This Row],[keyPassPerGame]]*0.5)</f>
        <v>4.5</v>
      </c>
      <c r="L80">
        <f t="shared" si="4"/>
        <v>0.31298162418494369</v>
      </c>
      <c r="M80">
        <f t="shared" si="5"/>
        <v>0.29577464788732394</v>
      </c>
      <c r="N80">
        <f>(player_data_cleaning[[#This Row],[BallProferssion&amp;Creativity]]- MIN(K80:K208) )/ (MAX(K80:K208) -MIN(K80:K208))</f>
        <v>0.34615384615384615</v>
      </c>
      <c r="O80">
        <v>6</v>
      </c>
      <c r="P80">
        <v>11</v>
      </c>
      <c r="Q80">
        <v>16</v>
      </c>
      <c r="R80">
        <v>8</v>
      </c>
      <c r="S80">
        <v>2</v>
      </c>
      <c r="T80">
        <v>2</v>
      </c>
      <c r="U80">
        <v>1</v>
      </c>
      <c r="V80">
        <v>6</v>
      </c>
      <c r="W80">
        <v>3</v>
      </c>
      <c r="X80">
        <v>6</v>
      </c>
      <c r="Y80">
        <v>1</v>
      </c>
      <c r="Z80">
        <v>12</v>
      </c>
      <c r="AA80">
        <v>12</v>
      </c>
      <c r="AB80">
        <v>241</v>
      </c>
      <c r="AC80">
        <v>71</v>
      </c>
      <c r="AD80">
        <v>5</v>
      </c>
      <c r="AE80">
        <v>1</v>
      </c>
      <c r="AF80">
        <v>0</v>
      </c>
      <c r="AG80">
        <v>173</v>
      </c>
      <c r="AH80">
        <v>13</v>
      </c>
      <c r="AI80">
        <v>18</v>
      </c>
      <c r="AJ80">
        <v>1</v>
      </c>
      <c r="AK80">
        <v>658</v>
      </c>
    </row>
    <row r="81" spans="1:37" x14ac:dyDescent="0.25">
      <c r="A81" s="1" t="s">
        <v>187</v>
      </c>
      <c r="B81" s="1" t="s">
        <v>72</v>
      </c>
      <c r="C81" s="1" t="s">
        <v>33</v>
      </c>
      <c r="D81">
        <v>21</v>
      </c>
      <c r="E81">
        <v>179</v>
      </c>
      <c r="F81" s="1" t="s">
        <v>111</v>
      </c>
      <c r="G81" s="1" t="s">
        <v>111</v>
      </c>
      <c r="H81">
        <v>649</v>
      </c>
      <c r="I81">
        <f>((player_data_cleaning[[#This Row],[goal]]+ player_data_cleaning[[#This Row],[assistTotal]]) /player_data_cleaning[[#This Row],[Mins Played]])* 90</f>
        <v>0.69337442218798151</v>
      </c>
      <c r="J81">
        <f>player_data_cleaning[[#This Row],[interceptionPerGame]]+player_data_cleaning[[#This Row],[clearancePerGame]]</f>
        <v>3</v>
      </c>
      <c r="K81">
        <f>(player_data_cleaning[[#This Row],[dribbleWonPerGame]]*0.5) + (player_data_cleaning[[#This Row],[keyPassPerGame]]*0.5)</f>
        <v>5.5</v>
      </c>
      <c r="L81">
        <f t="shared" si="4"/>
        <v>0.72639225181598055</v>
      </c>
      <c r="M81">
        <f t="shared" si="5"/>
        <v>2.8169014084507043E-2</v>
      </c>
      <c r="N81">
        <f>(player_data_cleaning[[#This Row],[BallProferssion&amp;Creativity]]- MIN(K81:K209) )/ (MAX(K81:K209) -MIN(K81:K209))</f>
        <v>0.42307692307692307</v>
      </c>
      <c r="O81">
        <v>2</v>
      </c>
      <c r="P81">
        <v>3</v>
      </c>
      <c r="Q81">
        <v>1</v>
      </c>
      <c r="R81">
        <v>3</v>
      </c>
      <c r="S81">
        <v>3</v>
      </c>
      <c r="T81">
        <v>2</v>
      </c>
      <c r="U81">
        <v>4</v>
      </c>
      <c r="V81">
        <v>7</v>
      </c>
      <c r="W81">
        <v>4</v>
      </c>
      <c r="X81">
        <v>7</v>
      </c>
      <c r="Y81">
        <v>0</v>
      </c>
      <c r="Z81">
        <v>4</v>
      </c>
      <c r="AA81">
        <v>6</v>
      </c>
      <c r="AB81">
        <v>125</v>
      </c>
      <c r="AC81">
        <v>898</v>
      </c>
      <c r="AD81">
        <v>3</v>
      </c>
      <c r="AE81">
        <v>2</v>
      </c>
      <c r="AF81">
        <v>0</v>
      </c>
      <c r="AG81">
        <v>52</v>
      </c>
      <c r="AH81">
        <v>7</v>
      </c>
      <c r="AI81">
        <v>8</v>
      </c>
      <c r="AJ81">
        <v>6</v>
      </c>
      <c r="AK81">
        <v>658</v>
      </c>
    </row>
    <row r="82" spans="1:37" x14ac:dyDescent="0.25">
      <c r="A82" s="1" t="s">
        <v>188</v>
      </c>
      <c r="B82" s="1" t="s">
        <v>189</v>
      </c>
      <c r="C82" s="1" t="s">
        <v>33</v>
      </c>
      <c r="D82">
        <v>21</v>
      </c>
      <c r="E82">
        <v>189</v>
      </c>
      <c r="F82" s="1" t="s">
        <v>39</v>
      </c>
      <c r="G82" s="1" t="s">
        <v>39</v>
      </c>
      <c r="H82">
        <v>1762</v>
      </c>
      <c r="I82">
        <f>((player_data_cleaning[[#This Row],[goal]]+ player_data_cleaning[[#This Row],[assistTotal]]) /player_data_cleaning[[#This Row],[Mins Played]])* 90</f>
        <v>0.35754824063564128</v>
      </c>
      <c r="J82">
        <f>player_data_cleaning[[#This Row],[interceptionPerGame]]+player_data_cleaning[[#This Row],[clearancePerGame]]</f>
        <v>3</v>
      </c>
      <c r="K82">
        <f>(player_data_cleaning[[#This Row],[dribbleWonPerGame]]*0.5) + (player_data_cleaning[[#This Row],[keyPassPerGame]]*0.5)</f>
        <v>8</v>
      </c>
      <c r="L82">
        <f t="shared" si="4"/>
        <v>0.37457434733257655</v>
      </c>
      <c r="M82">
        <f t="shared" si="5"/>
        <v>2.8169014084507043E-2</v>
      </c>
      <c r="N82">
        <f>(player_data_cleaning[[#This Row],[BallProferssion&amp;Creativity]]- MIN(K82:K210) )/ (MAX(K82:K210) -MIN(K82:K210))</f>
        <v>0.61538461538461542</v>
      </c>
      <c r="O82">
        <v>0</v>
      </c>
      <c r="P82">
        <v>6</v>
      </c>
      <c r="Q82">
        <v>3</v>
      </c>
      <c r="R82">
        <v>2</v>
      </c>
      <c r="S82">
        <v>5</v>
      </c>
      <c r="T82">
        <v>2</v>
      </c>
      <c r="U82">
        <v>19</v>
      </c>
      <c r="V82">
        <v>8</v>
      </c>
      <c r="W82">
        <v>8</v>
      </c>
      <c r="X82">
        <v>12</v>
      </c>
      <c r="Y82">
        <v>4</v>
      </c>
      <c r="Z82">
        <v>2</v>
      </c>
      <c r="AA82">
        <v>23</v>
      </c>
      <c r="AB82">
        <v>155</v>
      </c>
      <c r="AC82">
        <v>766</v>
      </c>
      <c r="AD82">
        <v>1</v>
      </c>
      <c r="AE82">
        <v>4</v>
      </c>
      <c r="AF82">
        <v>1</v>
      </c>
      <c r="AG82">
        <v>767</v>
      </c>
      <c r="AH82">
        <v>39</v>
      </c>
      <c r="AI82">
        <v>50</v>
      </c>
      <c r="AJ82">
        <v>15</v>
      </c>
      <c r="AK82">
        <v>658</v>
      </c>
    </row>
    <row r="83" spans="1:37" x14ac:dyDescent="0.25">
      <c r="A83" s="1" t="s">
        <v>190</v>
      </c>
      <c r="B83" s="1" t="s">
        <v>191</v>
      </c>
      <c r="C83" s="1" t="s">
        <v>33</v>
      </c>
      <c r="D83">
        <v>20</v>
      </c>
      <c r="E83">
        <v>185</v>
      </c>
      <c r="F83" s="1" t="s">
        <v>69</v>
      </c>
      <c r="G83" s="1" t="s">
        <v>126</v>
      </c>
      <c r="H83">
        <v>1843</v>
      </c>
      <c r="I83">
        <f>((player_data_cleaning[[#This Row],[goal]]+ player_data_cleaning[[#This Row],[assistTotal]]) /player_data_cleaning[[#This Row],[Mins Played]])* 90</f>
        <v>0.19533369506239825</v>
      </c>
      <c r="J83">
        <f>player_data_cleaning[[#This Row],[interceptionPerGame]]+player_data_cleaning[[#This Row],[clearancePerGame]]</f>
        <v>26</v>
      </c>
      <c r="K83">
        <f>(player_data_cleaning[[#This Row],[dribbleWonPerGame]]*0.5) + (player_data_cleaning[[#This Row],[keyPassPerGame]]*0.5)</f>
        <v>7.5</v>
      </c>
      <c r="L83">
        <f t="shared" si="4"/>
        <v>0.20463529958917911</v>
      </c>
      <c r="M83">
        <f t="shared" si="5"/>
        <v>0.352112676056338</v>
      </c>
      <c r="N83">
        <f>(player_data_cleaning[[#This Row],[BallProferssion&amp;Creativity]]- MIN(K83:K211) )/ (MAX(K83:K211) -MIN(K83:K211))</f>
        <v>0.57692307692307687</v>
      </c>
      <c r="O83">
        <v>9</v>
      </c>
      <c r="P83">
        <v>11</v>
      </c>
      <c r="Q83">
        <v>17</v>
      </c>
      <c r="R83">
        <v>1</v>
      </c>
      <c r="S83">
        <v>3</v>
      </c>
      <c r="T83">
        <v>1</v>
      </c>
      <c r="U83">
        <v>17</v>
      </c>
      <c r="V83">
        <v>9</v>
      </c>
      <c r="W83">
        <v>6</v>
      </c>
      <c r="X83">
        <v>26</v>
      </c>
      <c r="Y83">
        <v>2</v>
      </c>
      <c r="Z83">
        <v>18</v>
      </c>
      <c r="AA83">
        <v>18</v>
      </c>
      <c r="AB83">
        <v>294</v>
      </c>
      <c r="AC83">
        <v>788</v>
      </c>
      <c r="AD83">
        <v>5</v>
      </c>
      <c r="AE83">
        <v>14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657</v>
      </c>
    </row>
    <row r="84" spans="1:37" x14ac:dyDescent="0.25">
      <c r="A84" s="1" t="s">
        <v>192</v>
      </c>
      <c r="B84" s="1" t="s">
        <v>155</v>
      </c>
      <c r="C84" s="1" t="s">
        <v>37</v>
      </c>
      <c r="D84">
        <v>21</v>
      </c>
      <c r="E84">
        <v>178</v>
      </c>
      <c r="F84" s="1" t="s">
        <v>64</v>
      </c>
      <c r="G84" s="1" t="s">
        <v>116</v>
      </c>
      <c r="H84">
        <v>609</v>
      </c>
      <c r="I84">
        <f>((player_data_cleaning[[#This Row],[goal]]+ player_data_cleaning[[#This Row],[assistTotal]]) /player_data_cleaning[[#This Row],[Mins Played]])* 90</f>
        <v>0.14778325123152708</v>
      </c>
      <c r="J84">
        <f>player_data_cleaning[[#This Row],[interceptionPerGame]]+player_data_cleaning[[#This Row],[clearancePerGame]]</f>
        <v>18</v>
      </c>
      <c r="K84">
        <f>(player_data_cleaning[[#This Row],[dribbleWonPerGame]]*0.5) + (player_data_cleaning[[#This Row],[keyPassPerGame]]*0.5)</f>
        <v>4</v>
      </c>
      <c r="L84">
        <f t="shared" si="4"/>
        <v>0.15482054890921884</v>
      </c>
      <c r="M84">
        <f t="shared" si="5"/>
        <v>0.23943661971830985</v>
      </c>
      <c r="N84">
        <f>(player_data_cleaning[[#This Row],[BallProferssion&amp;Creativity]]- MIN(K84:K212) )/ (MAX(K84:K212) -MIN(K84:K212))</f>
        <v>0.30769230769230771</v>
      </c>
      <c r="O84">
        <v>9</v>
      </c>
      <c r="P84">
        <v>4</v>
      </c>
      <c r="Q84">
        <v>9</v>
      </c>
      <c r="R84">
        <v>1</v>
      </c>
      <c r="S84">
        <v>1</v>
      </c>
      <c r="T84">
        <v>0</v>
      </c>
      <c r="U84">
        <v>4</v>
      </c>
      <c r="V84">
        <v>6</v>
      </c>
      <c r="W84">
        <v>2</v>
      </c>
      <c r="X84">
        <v>4</v>
      </c>
      <c r="Y84">
        <v>0</v>
      </c>
      <c r="Z84">
        <v>4</v>
      </c>
      <c r="AA84">
        <v>6</v>
      </c>
      <c r="AB84">
        <v>176</v>
      </c>
      <c r="AC84">
        <v>879</v>
      </c>
      <c r="AD84">
        <v>3</v>
      </c>
      <c r="AE84">
        <v>7</v>
      </c>
      <c r="AF84">
        <v>0</v>
      </c>
      <c r="AG84">
        <v>21</v>
      </c>
      <c r="AH84">
        <v>3</v>
      </c>
      <c r="AI84">
        <v>6</v>
      </c>
      <c r="AJ84">
        <v>3</v>
      </c>
      <c r="AK84">
        <v>656</v>
      </c>
    </row>
    <row r="85" spans="1:37" x14ac:dyDescent="0.25">
      <c r="A85" s="1" t="s">
        <v>193</v>
      </c>
      <c r="B85" s="1" t="s">
        <v>101</v>
      </c>
      <c r="C85" s="1" t="s">
        <v>33</v>
      </c>
      <c r="D85">
        <v>20</v>
      </c>
      <c r="E85">
        <v>186</v>
      </c>
      <c r="F85" s="1" t="s">
        <v>81</v>
      </c>
      <c r="G85" s="1" t="s">
        <v>81</v>
      </c>
      <c r="H85">
        <v>959</v>
      </c>
      <c r="I85">
        <f>((player_data_cleaning[[#This Row],[goal]]+ player_data_cleaning[[#This Row],[assistTotal]]) /player_data_cleaning[[#This Row],[Mins Played]])* 90</f>
        <v>9.384775808133472E-2</v>
      </c>
      <c r="J85">
        <f>player_data_cleaning[[#This Row],[interceptionPerGame]]+player_data_cleaning[[#This Row],[clearancePerGame]]</f>
        <v>19</v>
      </c>
      <c r="K85">
        <f>(player_data_cleaning[[#This Row],[dribbleWonPerGame]]*0.5) + (player_data_cleaning[[#This Row],[keyPassPerGame]]*0.5)</f>
        <v>5</v>
      </c>
      <c r="L85">
        <f t="shared" si="4"/>
        <v>9.831669894235065E-2</v>
      </c>
      <c r="M85">
        <f t="shared" si="5"/>
        <v>0.25352112676056338</v>
      </c>
      <c r="N85">
        <f>(player_data_cleaning[[#This Row],[BallProferssion&amp;Creativity]]- MIN(K85:K213) )/ (MAX(K85:K213) -MIN(K85:K213))</f>
        <v>0.38461538461538464</v>
      </c>
      <c r="O85">
        <v>8</v>
      </c>
      <c r="P85">
        <v>1</v>
      </c>
      <c r="Q85">
        <v>11</v>
      </c>
      <c r="R85">
        <v>6</v>
      </c>
      <c r="S85">
        <v>0</v>
      </c>
      <c r="T85">
        <v>1</v>
      </c>
      <c r="U85">
        <v>6</v>
      </c>
      <c r="V85">
        <v>6</v>
      </c>
      <c r="W85">
        <v>4</v>
      </c>
      <c r="X85">
        <v>7</v>
      </c>
      <c r="Y85">
        <v>0</v>
      </c>
      <c r="Z85">
        <v>4</v>
      </c>
      <c r="AA85">
        <v>9</v>
      </c>
      <c r="AB85">
        <v>333</v>
      </c>
      <c r="AC85">
        <v>897</v>
      </c>
      <c r="AD85">
        <v>1</v>
      </c>
      <c r="AE85">
        <v>7</v>
      </c>
      <c r="AF85">
        <v>0</v>
      </c>
      <c r="AG85">
        <v>74</v>
      </c>
      <c r="AH85">
        <v>7</v>
      </c>
      <c r="AI85">
        <v>10</v>
      </c>
      <c r="AJ85">
        <v>7</v>
      </c>
      <c r="AK85">
        <v>656</v>
      </c>
    </row>
    <row r="86" spans="1:37" x14ac:dyDescent="0.25">
      <c r="A86" s="1" t="s">
        <v>194</v>
      </c>
      <c r="B86" s="1" t="s">
        <v>119</v>
      </c>
      <c r="C86" s="1" t="s">
        <v>33</v>
      </c>
      <c r="D86">
        <v>19</v>
      </c>
      <c r="E86">
        <v>182</v>
      </c>
      <c r="F86" s="1" t="s">
        <v>145</v>
      </c>
      <c r="G86" s="1" t="s">
        <v>45</v>
      </c>
      <c r="H86">
        <v>1079</v>
      </c>
      <c r="I86">
        <f>((player_data_cleaning[[#This Row],[goal]]+ player_data_cleaning[[#This Row],[assistTotal]]) /player_data_cleaning[[#This Row],[Mins Played]])* 90</f>
        <v>0.16682113067655235</v>
      </c>
      <c r="J86">
        <f>player_data_cleaning[[#This Row],[interceptionPerGame]]+player_data_cleaning[[#This Row],[clearancePerGame]]</f>
        <v>20</v>
      </c>
      <c r="K86">
        <f>(player_data_cleaning[[#This Row],[dribbleWonPerGame]]*0.5) + (player_data_cleaning[[#This Row],[keyPassPerGame]]*0.5)</f>
        <v>3</v>
      </c>
      <c r="L86">
        <f t="shared" si="4"/>
        <v>0.17476499404210247</v>
      </c>
      <c r="M86">
        <f t="shared" si="5"/>
        <v>0.26760563380281688</v>
      </c>
      <c r="N86">
        <f>(player_data_cleaning[[#This Row],[BallProferssion&amp;Creativity]]- MIN(K86:K214) )/ (MAX(K86:K214) -MIN(K86:K214))</f>
        <v>0.23076923076923078</v>
      </c>
      <c r="O86">
        <v>5</v>
      </c>
      <c r="P86">
        <v>8</v>
      </c>
      <c r="Q86">
        <v>15</v>
      </c>
      <c r="R86">
        <v>5</v>
      </c>
      <c r="S86">
        <v>2</v>
      </c>
      <c r="T86">
        <v>0</v>
      </c>
      <c r="U86">
        <v>6</v>
      </c>
      <c r="V86">
        <v>5</v>
      </c>
      <c r="W86">
        <v>1</v>
      </c>
      <c r="X86">
        <v>2</v>
      </c>
      <c r="Y86">
        <v>0</v>
      </c>
      <c r="Z86">
        <v>1</v>
      </c>
      <c r="AA86">
        <v>9</v>
      </c>
      <c r="AB86">
        <v>375</v>
      </c>
      <c r="AC86">
        <v>858</v>
      </c>
      <c r="AD86">
        <v>3</v>
      </c>
      <c r="AE86">
        <v>16</v>
      </c>
      <c r="AF86">
        <v>0</v>
      </c>
      <c r="AG86">
        <v>98</v>
      </c>
      <c r="AH86">
        <v>8</v>
      </c>
      <c r="AI86">
        <v>9</v>
      </c>
      <c r="AJ86">
        <v>11</v>
      </c>
      <c r="AK86">
        <v>655</v>
      </c>
    </row>
    <row r="87" spans="1:37" x14ac:dyDescent="0.25">
      <c r="A87" s="1" t="s">
        <v>195</v>
      </c>
      <c r="B87" s="1" t="s">
        <v>196</v>
      </c>
      <c r="C87" s="1" t="s">
        <v>33</v>
      </c>
      <c r="D87">
        <v>20</v>
      </c>
      <c r="E87">
        <v>183</v>
      </c>
      <c r="F87" s="1" t="s">
        <v>39</v>
      </c>
      <c r="G87" s="1" t="s">
        <v>39</v>
      </c>
      <c r="H87">
        <v>1289</v>
      </c>
      <c r="I87">
        <f>((player_data_cleaning[[#This Row],[goal]]+ player_data_cleaning[[#This Row],[assistTotal]]) /player_data_cleaning[[#This Row],[Mins Played]])* 90</f>
        <v>0.62839410395655548</v>
      </c>
      <c r="J87">
        <f>player_data_cleaning[[#This Row],[interceptionPerGame]]+player_data_cleaning[[#This Row],[clearancePerGame]]</f>
        <v>3</v>
      </c>
      <c r="K87">
        <f>(player_data_cleaning[[#This Row],[dribbleWonPerGame]]*0.5) + (player_data_cleaning[[#This Row],[keyPassPerGame]]*0.5)</f>
        <v>5</v>
      </c>
      <c r="L87">
        <f t="shared" si="4"/>
        <v>0.65831763271639143</v>
      </c>
      <c r="M87">
        <f t="shared" si="5"/>
        <v>2.8169014084507043E-2</v>
      </c>
      <c r="N87">
        <f>(player_data_cleaning[[#This Row],[BallProferssion&amp;Creativity]]- MIN(K87:K215) )/ (MAX(K87:K215) -MIN(K87:K215))</f>
        <v>0.38461538461538464</v>
      </c>
      <c r="O87">
        <v>1</v>
      </c>
      <c r="P87">
        <v>1</v>
      </c>
      <c r="Q87">
        <v>2</v>
      </c>
      <c r="R87">
        <v>3</v>
      </c>
      <c r="S87">
        <v>5</v>
      </c>
      <c r="T87">
        <v>4</v>
      </c>
      <c r="U87">
        <v>12</v>
      </c>
      <c r="V87">
        <v>6</v>
      </c>
      <c r="W87">
        <v>4</v>
      </c>
      <c r="X87">
        <v>8</v>
      </c>
      <c r="Y87">
        <v>3</v>
      </c>
      <c r="Z87">
        <v>9</v>
      </c>
      <c r="AA87">
        <v>15</v>
      </c>
      <c r="AB87">
        <v>156</v>
      </c>
      <c r="AC87">
        <v>768</v>
      </c>
      <c r="AD87">
        <v>0</v>
      </c>
      <c r="AE87">
        <v>2</v>
      </c>
      <c r="AF87">
        <v>2</v>
      </c>
      <c r="AG87">
        <v>454</v>
      </c>
      <c r="AH87">
        <v>32</v>
      </c>
      <c r="AI87">
        <v>25</v>
      </c>
      <c r="AJ87">
        <v>18</v>
      </c>
      <c r="AK87">
        <v>655</v>
      </c>
    </row>
    <row r="88" spans="1:37" x14ac:dyDescent="0.25">
      <c r="A88" s="1" t="s">
        <v>197</v>
      </c>
      <c r="B88" s="1" t="s">
        <v>198</v>
      </c>
      <c r="C88" s="1" t="s">
        <v>37</v>
      </c>
      <c r="D88">
        <v>19</v>
      </c>
      <c r="E88">
        <v>180</v>
      </c>
      <c r="F88" s="1" t="s">
        <v>81</v>
      </c>
      <c r="G88" s="1" t="s">
        <v>81</v>
      </c>
      <c r="H88">
        <v>1291</v>
      </c>
      <c r="I88">
        <f>((player_data_cleaning[[#This Row],[goal]]+ player_data_cleaning[[#This Row],[assistTotal]]) /player_data_cleaning[[#This Row],[Mins Played]])* 90</f>
        <v>0</v>
      </c>
      <c r="J88">
        <f>player_data_cleaning[[#This Row],[interceptionPerGame]]+player_data_cleaning[[#This Row],[clearancePerGame]]</f>
        <v>11</v>
      </c>
      <c r="K88">
        <f>(player_data_cleaning[[#This Row],[dribbleWonPerGame]]*0.5) + (player_data_cleaning[[#This Row],[keyPassPerGame]]*0.5)</f>
        <v>9</v>
      </c>
      <c r="L88">
        <f t="shared" si="4"/>
        <v>0</v>
      </c>
      <c r="M88">
        <f t="shared" si="5"/>
        <v>0.14084507042253522</v>
      </c>
      <c r="N88">
        <f>(player_data_cleaning[[#This Row],[BallProferssion&amp;Creativity]]- MIN(K88:K216) )/ (MAX(K88:K216) -MIN(K88:K216))</f>
        <v>0.69230769230769229</v>
      </c>
      <c r="O88">
        <v>9</v>
      </c>
      <c r="P88">
        <v>13</v>
      </c>
      <c r="Q88">
        <v>2</v>
      </c>
      <c r="R88">
        <v>7</v>
      </c>
      <c r="S88">
        <v>0</v>
      </c>
      <c r="T88">
        <v>0</v>
      </c>
      <c r="U88">
        <v>6</v>
      </c>
      <c r="V88">
        <v>7</v>
      </c>
      <c r="W88">
        <v>11</v>
      </c>
      <c r="X88">
        <v>11</v>
      </c>
      <c r="Y88">
        <v>1</v>
      </c>
      <c r="Z88">
        <v>16</v>
      </c>
      <c r="AA88">
        <v>13</v>
      </c>
      <c r="AB88">
        <v>366</v>
      </c>
      <c r="AC88">
        <v>871</v>
      </c>
      <c r="AD88">
        <v>1</v>
      </c>
      <c r="AE88">
        <v>11</v>
      </c>
      <c r="AF88">
        <v>1</v>
      </c>
      <c r="AG88">
        <v>57</v>
      </c>
      <c r="AH88">
        <v>4</v>
      </c>
      <c r="AI88">
        <v>10</v>
      </c>
      <c r="AJ88">
        <v>6</v>
      </c>
      <c r="AK88">
        <v>654</v>
      </c>
    </row>
    <row r="89" spans="1:37" x14ac:dyDescent="0.25">
      <c r="A89" s="1" t="s">
        <v>199</v>
      </c>
      <c r="B89" s="1" t="s">
        <v>200</v>
      </c>
      <c r="C89" s="1" t="s">
        <v>33</v>
      </c>
      <c r="D89">
        <v>19</v>
      </c>
      <c r="E89">
        <v>185</v>
      </c>
      <c r="F89" s="1" t="s">
        <v>59</v>
      </c>
      <c r="G89" s="1" t="s">
        <v>59</v>
      </c>
      <c r="H89">
        <v>1228</v>
      </c>
      <c r="I89">
        <f>((player_data_cleaning[[#This Row],[goal]]+ player_data_cleaning[[#This Row],[assistTotal]]) /player_data_cleaning[[#This Row],[Mins Played]])* 90</f>
        <v>7.3289902280130298E-2</v>
      </c>
      <c r="J89">
        <f>player_data_cleaning[[#This Row],[interceptionPerGame]]+player_data_cleaning[[#This Row],[clearancePerGame]]</f>
        <v>54</v>
      </c>
      <c r="K89">
        <f>(player_data_cleaning[[#This Row],[dribbleWonPerGame]]*0.5) + (player_data_cleaning[[#This Row],[keyPassPerGame]]*0.5)</f>
        <v>3</v>
      </c>
      <c r="L89">
        <f t="shared" si="4"/>
        <v>7.6779897626803165E-2</v>
      </c>
      <c r="M89">
        <f t="shared" si="5"/>
        <v>0.74647887323943662</v>
      </c>
      <c r="N89">
        <f>(player_data_cleaning[[#This Row],[BallProferssion&amp;Creativity]]- MIN(K89:K217) )/ (MAX(K89:K217) -MIN(K89:K217))</f>
        <v>0.23076923076923078</v>
      </c>
      <c r="O89">
        <v>5</v>
      </c>
      <c r="P89">
        <v>5</v>
      </c>
      <c r="Q89">
        <v>49</v>
      </c>
      <c r="R89">
        <v>4</v>
      </c>
      <c r="S89">
        <v>1</v>
      </c>
      <c r="T89">
        <v>0</v>
      </c>
      <c r="U89">
        <v>3</v>
      </c>
      <c r="V89">
        <v>1</v>
      </c>
      <c r="W89">
        <v>5</v>
      </c>
      <c r="X89">
        <v>6</v>
      </c>
      <c r="Y89">
        <v>0</v>
      </c>
      <c r="Z89">
        <v>3</v>
      </c>
      <c r="AA89">
        <v>5</v>
      </c>
      <c r="AB89">
        <v>295</v>
      </c>
      <c r="AC89">
        <v>887</v>
      </c>
      <c r="AD89">
        <v>0</v>
      </c>
      <c r="AE89">
        <v>11</v>
      </c>
      <c r="AF89">
        <v>0</v>
      </c>
      <c r="AG89">
        <v>81</v>
      </c>
      <c r="AH89">
        <v>6</v>
      </c>
      <c r="AI89">
        <v>4</v>
      </c>
      <c r="AJ89">
        <v>2</v>
      </c>
      <c r="AK89">
        <v>654</v>
      </c>
    </row>
    <row r="90" spans="1:37" x14ac:dyDescent="0.25">
      <c r="A90" s="1" t="s">
        <v>201</v>
      </c>
      <c r="B90" s="1" t="s">
        <v>41</v>
      </c>
      <c r="C90" s="1" t="s">
        <v>33</v>
      </c>
      <c r="D90">
        <v>21</v>
      </c>
      <c r="E90">
        <v>178</v>
      </c>
      <c r="F90" s="1" t="s">
        <v>158</v>
      </c>
      <c r="G90" s="1" t="s">
        <v>158</v>
      </c>
      <c r="H90">
        <v>876</v>
      </c>
      <c r="I90">
        <f>((player_data_cleaning[[#This Row],[goal]]+ player_data_cleaning[[#This Row],[assistTotal]]) /player_data_cleaning[[#This Row],[Mins Played]])* 90</f>
        <v>0.30821917808219179</v>
      </c>
      <c r="J90">
        <f>player_data_cleaning[[#This Row],[interceptionPerGame]]+player_data_cleaning[[#This Row],[clearancePerGame]]</f>
        <v>7</v>
      </c>
      <c r="K90">
        <f>(player_data_cleaning[[#This Row],[dribbleWonPerGame]]*0.5) + (player_data_cleaning[[#This Row],[keyPassPerGame]]*0.5)</f>
        <v>6.5</v>
      </c>
      <c r="L90">
        <f t="shared" si="4"/>
        <v>0.32289628180039137</v>
      </c>
      <c r="M90">
        <f t="shared" si="5"/>
        <v>8.4507042253521125E-2</v>
      </c>
      <c r="N90">
        <f>(player_data_cleaning[[#This Row],[BallProferssion&amp;Creativity]]- MIN(K90:K218) )/ (MAX(K90:K218) -MIN(K90:K218))</f>
        <v>0.5</v>
      </c>
      <c r="O90">
        <v>3</v>
      </c>
      <c r="P90">
        <v>6</v>
      </c>
      <c r="Q90">
        <v>4</v>
      </c>
      <c r="R90">
        <v>6</v>
      </c>
      <c r="S90">
        <v>2</v>
      </c>
      <c r="T90">
        <v>1</v>
      </c>
      <c r="U90">
        <v>12</v>
      </c>
      <c r="V90">
        <v>6</v>
      </c>
      <c r="W90">
        <v>7</v>
      </c>
      <c r="X90">
        <v>5</v>
      </c>
      <c r="Y90">
        <v>3</v>
      </c>
      <c r="Z90">
        <v>9</v>
      </c>
      <c r="AA90">
        <v>12</v>
      </c>
      <c r="AB90">
        <v>172</v>
      </c>
      <c r="AC90">
        <v>847</v>
      </c>
      <c r="AD90">
        <v>4</v>
      </c>
      <c r="AE90">
        <v>4</v>
      </c>
      <c r="AF90">
        <v>0</v>
      </c>
      <c r="AG90">
        <v>199</v>
      </c>
      <c r="AH90">
        <v>2</v>
      </c>
      <c r="AI90">
        <v>23</v>
      </c>
      <c r="AJ90">
        <v>9</v>
      </c>
      <c r="AK90">
        <v>652</v>
      </c>
    </row>
    <row r="91" spans="1:37" x14ac:dyDescent="0.25">
      <c r="A91" s="1" t="s">
        <v>202</v>
      </c>
      <c r="B91" s="1" t="s">
        <v>165</v>
      </c>
      <c r="C91" s="1" t="s">
        <v>33</v>
      </c>
      <c r="D91">
        <v>20</v>
      </c>
      <c r="E91">
        <v>180</v>
      </c>
      <c r="F91" s="1" t="s">
        <v>62</v>
      </c>
      <c r="G91" s="1" t="s">
        <v>62</v>
      </c>
      <c r="H91">
        <v>1371</v>
      </c>
      <c r="I91">
        <f>((player_data_cleaning[[#This Row],[goal]]+ player_data_cleaning[[#This Row],[assistTotal]]) /player_data_cleaning[[#This Row],[Mins Played]])* 90</f>
        <v>0.19693654266958424</v>
      </c>
      <c r="J91">
        <f>player_data_cleaning[[#This Row],[interceptionPerGame]]+player_data_cleaning[[#This Row],[clearancePerGame]]</f>
        <v>3</v>
      </c>
      <c r="K91">
        <f>(player_data_cleaning[[#This Row],[dribbleWonPerGame]]*0.5) + (player_data_cleaning[[#This Row],[keyPassPerGame]]*0.5)</f>
        <v>11</v>
      </c>
      <c r="L91">
        <f t="shared" si="4"/>
        <v>0.20631447327289776</v>
      </c>
      <c r="M91">
        <f t="shared" si="5"/>
        <v>2.8169014084507043E-2</v>
      </c>
      <c r="N91">
        <f>(player_data_cleaning[[#This Row],[BallProferssion&amp;Creativity]]- MIN(K91:K219) )/ (MAX(K91:K219) -MIN(K91:K219))</f>
        <v>0.84615384615384615</v>
      </c>
      <c r="O91">
        <v>2</v>
      </c>
      <c r="P91">
        <v>1</v>
      </c>
      <c r="Q91">
        <v>1</v>
      </c>
      <c r="R91">
        <v>2</v>
      </c>
      <c r="S91">
        <v>2</v>
      </c>
      <c r="T91">
        <v>1</v>
      </c>
      <c r="U91">
        <v>7</v>
      </c>
      <c r="V91">
        <v>11</v>
      </c>
      <c r="W91">
        <v>11</v>
      </c>
      <c r="X91">
        <v>3</v>
      </c>
      <c r="Y91">
        <v>0</v>
      </c>
      <c r="Z91">
        <v>1</v>
      </c>
      <c r="AA91">
        <v>1</v>
      </c>
      <c r="AB91">
        <v>293</v>
      </c>
      <c r="AC91">
        <v>797</v>
      </c>
      <c r="AD91">
        <v>4</v>
      </c>
      <c r="AE91">
        <v>15</v>
      </c>
      <c r="AF91">
        <v>1</v>
      </c>
      <c r="AG91">
        <v>64</v>
      </c>
      <c r="AH91">
        <v>4</v>
      </c>
      <c r="AI91">
        <v>16</v>
      </c>
      <c r="AJ91">
        <v>4</v>
      </c>
      <c r="AK91">
        <v>652</v>
      </c>
    </row>
    <row r="92" spans="1:37" x14ac:dyDescent="0.25">
      <c r="A92" s="1" t="s">
        <v>203</v>
      </c>
      <c r="B92" s="1" t="s">
        <v>204</v>
      </c>
      <c r="C92" s="1" t="s">
        <v>205</v>
      </c>
      <c r="D92">
        <v>19</v>
      </c>
      <c r="E92">
        <v>183</v>
      </c>
      <c r="F92" s="1" t="s">
        <v>45</v>
      </c>
      <c r="G92" s="1" t="s">
        <v>45</v>
      </c>
      <c r="H92">
        <v>1189</v>
      </c>
      <c r="I92">
        <f>((player_data_cleaning[[#This Row],[goal]]+ player_data_cleaning[[#This Row],[assistTotal]]) /player_data_cleaning[[#This Row],[Mins Played]])* 90</f>
        <v>7.5693860386879724E-2</v>
      </c>
      <c r="J92">
        <f>player_data_cleaning[[#This Row],[interceptionPerGame]]+player_data_cleaning[[#This Row],[clearancePerGame]]</f>
        <v>22</v>
      </c>
      <c r="K92">
        <f>(player_data_cleaning[[#This Row],[dribbleWonPerGame]]*0.5) + (player_data_cleaning[[#This Row],[keyPassPerGame]]*0.5)</f>
        <v>5.5</v>
      </c>
      <c r="L92">
        <f t="shared" si="4"/>
        <v>7.9298329929112094E-2</v>
      </c>
      <c r="M92">
        <f t="shared" si="5"/>
        <v>0.29577464788732394</v>
      </c>
      <c r="N92">
        <f>(player_data_cleaning[[#This Row],[BallProferssion&amp;Creativity]]- MIN(K92:K220) )/ (MAX(K92:K220) -MIN(K92:K220))</f>
        <v>0.42307692307692307</v>
      </c>
      <c r="O92">
        <v>13</v>
      </c>
      <c r="P92">
        <v>14</v>
      </c>
      <c r="Q92">
        <v>9</v>
      </c>
      <c r="R92">
        <v>12</v>
      </c>
      <c r="S92">
        <v>1</v>
      </c>
      <c r="T92">
        <v>0</v>
      </c>
      <c r="U92">
        <v>7</v>
      </c>
      <c r="V92">
        <v>4</v>
      </c>
      <c r="W92">
        <v>7</v>
      </c>
      <c r="X92">
        <v>16</v>
      </c>
      <c r="Y92">
        <v>1</v>
      </c>
      <c r="Z92">
        <v>7</v>
      </c>
      <c r="AA92">
        <v>11</v>
      </c>
      <c r="AB92">
        <v>197</v>
      </c>
      <c r="AC92">
        <v>759</v>
      </c>
      <c r="AD92">
        <v>1</v>
      </c>
      <c r="AE92">
        <v>8</v>
      </c>
      <c r="AF92">
        <v>1</v>
      </c>
      <c r="AG92">
        <v>109</v>
      </c>
      <c r="AH92">
        <v>8</v>
      </c>
      <c r="AI92">
        <v>13</v>
      </c>
      <c r="AJ92">
        <v>8</v>
      </c>
      <c r="AK92">
        <v>652</v>
      </c>
    </row>
    <row r="93" spans="1:37" x14ac:dyDescent="0.25">
      <c r="A93" s="1" t="s">
        <v>206</v>
      </c>
      <c r="B93" s="1" t="s">
        <v>207</v>
      </c>
      <c r="C93" s="1" t="s">
        <v>33</v>
      </c>
      <c r="D93">
        <v>21</v>
      </c>
      <c r="E93">
        <v>180</v>
      </c>
      <c r="F93" s="1" t="s">
        <v>73</v>
      </c>
      <c r="G93" s="1" t="s">
        <v>73</v>
      </c>
      <c r="H93">
        <v>1364</v>
      </c>
      <c r="I93">
        <f>((player_data_cleaning[[#This Row],[goal]]+ player_data_cleaning[[#This Row],[assistTotal]]) /player_data_cleaning[[#This Row],[Mins Played]])* 90</f>
        <v>0.26392961876832843</v>
      </c>
      <c r="J93">
        <f>player_data_cleaning[[#This Row],[interceptionPerGame]]+player_data_cleaning[[#This Row],[clearancePerGame]]</f>
        <v>6</v>
      </c>
      <c r="K93">
        <f>(player_data_cleaning[[#This Row],[dribbleWonPerGame]]*0.5) + (player_data_cleaning[[#This Row],[keyPassPerGame]]*0.5)</f>
        <v>9.5</v>
      </c>
      <c r="L93">
        <f t="shared" si="4"/>
        <v>0.27649769585253453</v>
      </c>
      <c r="M93">
        <f t="shared" si="5"/>
        <v>7.0422535211267609E-2</v>
      </c>
      <c r="N93">
        <f>(player_data_cleaning[[#This Row],[BallProferssion&amp;Creativity]]- MIN(K93:K221) )/ (MAX(K93:K221) -MIN(K93:K221))</f>
        <v>0.73076923076923073</v>
      </c>
      <c r="O93">
        <v>3</v>
      </c>
      <c r="P93">
        <v>9</v>
      </c>
      <c r="Q93">
        <v>3</v>
      </c>
      <c r="R93">
        <v>6</v>
      </c>
      <c r="S93">
        <v>1</v>
      </c>
      <c r="T93">
        <v>3</v>
      </c>
      <c r="U93">
        <v>1</v>
      </c>
      <c r="V93">
        <v>8</v>
      </c>
      <c r="W93">
        <v>11</v>
      </c>
      <c r="X93">
        <v>18</v>
      </c>
      <c r="Y93">
        <v>0</v>
      </c>
      <c r="Z93">
        <v>14</v>
      </c>
      <c r="AA93">
        <v>24</v>
      </c>
      <c r="AB93">
        <v>186</v>
      </c>
      <c r="AC93">
        <v>783</v>
      </c>
      <c r="AD93">
        <v>9</v>
      </c>
      <c r="AE93">
        <v>8</v>
      </c>
      <c r="AF93">
        <v>0</v>
      </c>
      <c r="AG93">
        <v>239</v>
      </c>
      <c r="AH93">
        <v>16</v>
      </c>
      <c r="AI93">
        <v>20</v>
      </c>
      <c r="AJ93">
        <v>12</v>
      </c>
      <c r="AK93">
        <v>652</v>
      </c>
    </row>
    <row r="94" spans="1:37" x14ac:dyDescent="0.25">
      <c r="A94" s="1" t="s">
        <v>208</v>
      </c>
      <c r="B94" s="1" t="s">
        <v>209</v>
      </c>
      <c r="C94" s="1" t="s">
        <v>33</v>
      </c>
      <c r="D94">
        <v>21</v>
      </c>
      <c r="E94">
        <v>174</v>
      </c>
      <c r="F94" s="1" t="s">
        <v>38</v>
      </c>
      <c r="G94" s="1" t="s">
        <v>38</v>
      </c>
      <c r="H94">
        <v>2121</v>
      </c>
      <c r="I94">
        <f>((player_data_cleaning[[#This Row],[goal]]+ player_data_cleaning[[#This Row],[assistTotal]]) /player_data_cleaning[[#This Row],[Mins Played]])* 90</f>
        <v>0.21216407355021219</v>
      </c>
      <c r="J94">
        <f>player_data_cleaning[[#This Row],[interceptionPerGame]]+player_data_cleaning[[#This Row],[clearancePerGame]]</f>
        <v>6</v>
      </c>
      <c r="K94">
        <f>(player_data_cleaning[[#This Row],[dribbleWonPerGame]]*0.5) + (player_data_cleaning[[#This Row],[keyPassPerGame]]*0.5)</f>
        <v>13</v>
      </c>
      <c r="L94">
        <f t="shared" si="4"/>
        <v>0.22226712467165086</v>
      </c>
      <c r="M94">
        <f t="shared" si="5"/>
        <v>7.0422535211267609E-2</v>
      </c>
      <c r="N94">
        <f>(player_data_cleaning[[#This Row],[BallProferssion&amp;Creativity]]- MIN(K94:K222) )/ (MAX(K94:K222) -MIN(K94:K222))</f>
        <v>1</v>
      </c>
      <c r="O94">
        <v>4</v>
      </c>
      <c r="P94">
        <v>11</v>
      </c>
      <c r="Q94">
        <v>2</v>
      </c>
      <c r="R94">
        <v>12</v>
      </c>
      <c r="S94">
        <v>3</v>
      </c>
      <c r="T94">
        <v>2</v>
      </c>
      <c r="U94">
        <v>13</v>
      </c>
      <c r="V94">
        <v>9</v>
      </c>
      <c r="W94">
        <v>17</v>
      </c>
      <c r="X94">
        <v>14</v>
      </c>
      <c r="Y94">
        <v>2</v>
      </c>
      <c r="Z94">
        <v>21</v>
      </c>
      <c r="AA94">
        <v>24</v>
      </c>
      <c r="AB94">
        <v>25</v>
      </c>
      <c r="AC94">
        <v>835</v>
      </c>
      <c r="AD94">
        <v>4</v>
      </c>
      <c r="AE94">
        <v>5</v>
      </c>
      <c r="AF94">
        <v>0</v>
      </c>
      <c r="AG94">
        <v>256</v>
      </c>
      <c r="AH94">
        <v>11</v>
      </c>
      <c r="AI94">
        <v>33</v>
      </c>
      <c r="AJ94">
        <v>8</v>
      </c>
      <c r="AK94">
        <v>651</v>
      </c>
    </row>
    <row r="95" spans="1:37" x14ac:dyDescent="0.25">
      <c r="A95" s="1" t="s">
        <v>210</v>
      </c>
      <c r="B95" s="1" t="s">
        <v>211</v>
      </c>
      <c r="C95" s="1" t="s">
        <v>33</v>
      </c>
      <c r="D95">
        <v>20</v>
      </c>
      <c r="E95">
        <v>180</v>
      </c>
      <c r="F95" s="1" t="s">
        <v>69</v>
      </c>
      <c r="G95" s="1" t="s">
        <v>69</v>
      </c>
      <c r="H95">
        <v>1211</v>
      </c>
      <c r="I95">
        <f>((player_data_cleaning[[#This Row],[goal]]+ player_data_cleaning[[#This Row],[assistTotal]]) /player_data_cleaning[[#This Row],[Mins Played]])* 90</f>
        <v>0.22295623451692814</v>
      </c>
      <c r="J95">
        <f>player_data_cleaning[[#This Row],[interceptionPerGame]]+player_data_cleaning[[#This Row],[clearancePerGame]]</f>
        <v>35</v>
      </c>
      <c r="K95">
        <f>(player_data_cleaning[[#This Row],[dribbleWonPerGame]]*0.5) + (player_data_cleaning[[#This Row],[keyPassPerGame]]*0.5)</f>
        <v>4.5</v>
      </c>
      <c r="L95">
        <f t="shared" si="4"/>
        <v>0.23357319806535329</v>
      </c>
      <c r="M95">
        <f t="shared" si="5"/>
        <v>0.47887323943661969</v>
      </c>
      <c r="N95">
        <f>(player_data_cleaning[[#This Row],[BallProferssion&amp;Creativity]]- MIN(K95:K223) )/ (MAX(K95:K223) -MIN(K95:K223))</f>
        <v>0.40909090909090912</v>
      </c>
      <c r="O95">
        <v>9</v>
      </c>
      <c r="P95">
        <v>9</v>
      </c>
      <c r="Q95">
        <v>26</v>
      </c>
      <c r="R95">
        <v>7</v>
      </c>
      <c r="S95">
        <v>1</v>
      </c>
      <c r="T95">
        <v>2</v>
      </c>
      <c r="U95">
        <v>5</v>
      </c>
      <c r="V95">
        <v>5</v>
      </c>
      <c r="W95">
        <v>4</v>
      </c>
      <c r="X95">
        <v>8</v>
      </c>
      <c r="Y95">
        <v>0</v>
      </c>
      <c r="Z95">
        <v>5</v>
      </c>
      <c r="AA95">
        <v>7</v>
      </c>
      <c r="AB95">
        <v>278</v>
      </c>
      <c r="AC95">
        <v>778</v>
      </c>
      <c r="AD95">
        <v>3</v>
      </c>
      <c r="AE95">
        <v>11</v>
      </c>
      <c r="AF95">
        <v>1</v>
      </c>
      <c r="AG95">
        <v>106</v>
      </c>
      <c r="AH95">
        <v>8</v>
      </c>
      <c r="AI95">
        <v>8</v>
      </c>
      <c r="AJ95">
        <v>13</v>
      </c>
      <c r="AK95">
        <v>651</v>
      </c>
    </row>
    <row r="96" spans="1:37" x14ac:dyDescent="0.25">
      <c r="A96" s="1" t="s">
        <v>212</v>
      </c>
      <c r="B96" s="1" t="s">
        <v>104</v>
      </c>
      <c r="C96" s="1" t="s">
        <v>33</v>
      </c>
      <c r="D96">
        <v>20</v>
      </c>
      <c r="E96">
        <v>170</v>
      </c>
      <c r="F96" s="1" t="s">
        <v>145</v>
      </c>
      <c r="G96" s="1" t="s">
        <v>81</v>
      </c>
      <c r="H96">
        <v>1584</v>
      </c>
      <c r="I96">
        <f>((player_data_cleaning[[#This Row],[goal]]+ player_data_cleaning[[#This Row],[assistTotal]]) /player_data_cleaning[[#This Row],[Mins Played]])* 90</f>
        <v>0.17045454545454547</v>
      </c>
      <c r="J96">
        <f>player_data_cleaning[[#This Row],[interceptionPerGame]]+player_data_cleaning[[#This Row],[clearancePerGame]]</f>
        <v>21</v>
      </c>
      <c r="K96">
        <f>(player_data_cleaning[[#This Row],[dribbleWonPerGame]]*0.5) + (player_data_cleaning[[#This Row],[keyPassPerGame]]*0.5)</f>
        <v>3</v>
      </c>
      <c r="L96">
        <f t="shared" si="4"/>
        <v>0.17857142857142858</v>
      </c>
      <c r="M96">
        <f t="shared" si="5"/>
        <v>0.28169014084507044</v>
      </c>
      <c r="N96">
        <f>(player_data_cleaning[[#This Row],[BallProferssion&amp;Creativity]]- MIN(K96:K224) )/ (MAX(K96:K224) -MIN(K96:K224))</f>
        <v>0.27272727272727271</v>
      </c>
      <c r="O96">
        <v>5</v>
      </c>
      <c r="P96">
        <v>5</v>
      </c>
      <c r="Q96">
        <v>16</v>
      </c>
      <c r="R96">
        <v>2</v>
      </c>
      <c r="S96">
        <v>1</v>
      </c>
      <c r="T96">
        <v>2</v>
      </c>
      <c r="U96">
        <v>5</v>
      </c>
      <c r="V96">
        <v>3</v>
      </c>
      <c r="W96">
        <v>3</v>
      </c>
      <c r="X96">
        <v>13</v>
      </c>
      <c r="Y96">
        <v>0</v>
      </c>
      <c r="Z96">
        <v>8</v>
      </c>
      <c r="AA96">
        <v>9</v>
      </c>
      <c r="AB96">
        <v>466</v>
      </c>
      <c r="AC96">
        <v>922</v>
      </c>
      <c r="AD96">
        <v>0</v>
      </c>
      <c r="AE96">
        <v>1</v>
      </c>
      <c r="AF96">
        <v>0</v>
      </c>
      <c r="AG96">
        <v>15</v>
      </c>
      <c r="AH96">
        <v>9</v>
      </c>
      <c r="AI96">
        <v>10</v>
      </c>
      <c r="AJ96">
        <v>15</v>
      </c>
      <c r="AK96">
        <v>650</v>
      </c>
    </row>
    <row r="97" spans="1:37" x14ac:dyDescent="0.25">
      <c r="A97" s="1" t="s">
        <v>213</v>
      </c>
      <c r="B97" s="1" t="s">
        <v>214</v>
      </c>
      <c r="C97" s="1" t="s">
        <v>44</v>
      </c>
      <c r="D97">
        <v>19</v>
      </c>
      <c r="E97">
        <v>187</v>
      </c>
      <c r="F97" s="1" t="s">
        <v>45</v>
      </c>
      <c r="G97" s="1" t="s">
        <v>45</v>
      </c>
      <c r="H97">
        <v>838</v>
      </c>
      <c r="I97">
        <f>((player_data_cleaning[[#This Row],[goal]]+ player_data_cleaning[[#This Row],[assistTotal]]) /player_data_cleaning[[#This Row],[Mins Played]])* 90</f>
        <v>0</v>
      </c>
      <c r="J97">
        <f>player_data_cleaning[[#This Row],[interceptionPerGame]]+player_data_cleaning[[#This Row],[clearancePerGame]]</f>
        <v>17</v>
      </c>
      <c r="K97">
        <f>(player_data_cleaning[[#This Row],[dribbleWonPerGame]]*0.5) + (player_data_cleaning[[#This Row],[keyPassPerGame]]*0.5)</f>
        <v>5.5</v>
      </c>
      <c r="L97">
        <f t="shared" si="4"/>
        <v>0</v>
      </c>
      <c r="M97">
        <f t="shared" si="5"/>
        <v>0.22535211267605634</v>
      </c>
      <c r="N97">
        <f>(player_data_cleaning[[#This Row],[BallProferssion&amp;Creativity]]- MIN(K97:K225) )/ (MAX(K97:K225) -MIN(K97:K225))</f>
        <v>0.5</v>
      </c>
      <c r="O97">
        <v>8</v>
      </c>
      <c r="P97">
        <v>7</v>
      </c>
      <c r="Q97">
        <v>9</v>
      </c>
      <c r="R97">
        <v>5</v>
      </c>
      <c r="S97">
        <v>0</v>
      </c>
      <c r="T97">
        <v>0</v>
      </c>
      <c r="U97">
        <v>4</v>
      </c>
      <c r="V97">
        <v>3</v>
      </c>
      <c r="W97">
        <v>8</v>
      </c>
      <c r="X97">
        <v>6</v>
      </c>
      <c r="Y97">
        <v>0</v>
      </c>
      <c r="Z97">
        <v>6</v>
      </c>
      <c r="AA97">
        <v>9</v>
      </c>
      <c r="AB97">
        <v>267</v>
      </c>
      <c r="AC97">
        <v>902</v>
      </c>
      <c r="AD97">
        <v>3</v>
      </c>
      <c r="AE97">
        <v>12</v>
      </c>
      <c r="AF97">
        <v>0</v>
      </c>
      <c r="AG97">
        <v>44</v>
      </c>
      <c r="AH97">
        <v>5</v>
      </c>
      <c r="AI97">
        <v>8</v>
      </c>
      <c r="AJ97">
        <v>6</v>
      </c>
      <c r="AK97">
        <v>649</v>
      </c>
    </row>
    <row r="98" spans="1:37" x14ac:dyDescent="0.25">
      <c r="A98" s="1" t="s">
        <v>215</v>
      </c>
      <c r="B98" s="1" t="s">
        <v>216</v>
      </c>
      <c r="C98" s="1" t="s">
        <v>33</v>
      </c>
      <c r="D98">
        <v>20</v>
      </c>
      <c r="E98">
        <v>191</v>
      </c>
      <c r="F98" s="1" t="s">
        <v>45</v>
      </c>
      <c r="G98" s="1" t="s">
        <v>45</v>
      </c>
      <c r="H98">
        <v>849</v>
      </c>
      <c r="I98">
        <f>((player_data_cleaning[[#This Row],[goal]]+ player_data_cleaning[[#This Row],[assistTotal]]) /player_data_cleaning[[#This Row],[Mins Played]])* 90</f>
        <v>0.31802120141342755</v>
      </c>
      <c r="J98">
        <f>player_data_cleaning[[#This Row],[interceptionPerGame]]+player_data_cleaning[[#This Row],[clearancePerGame]]</f>
        <v>14</v>
      </c>
      <c r="K98">
        <f>(player_data_cleaning[[#This Row],[dribbleWonPerGame]]*0.5) + (player_data_cleaning[[#This Row],[keyPassPerGame]]*0.5)</f>
        <v>1.5</v>
      </c>
      <c r="L98">
        <f t="shared" ref="L98:L130" si="6">(I98- MIN($I$2:$I$130) )/( MAX($I$2:$I$130) -MIN($I$2:$I$130))</f>
        <v>0.33316506814740027</v>
      </c>
      <c r="M98">
        <f t="shared" ref="M98:M130" si="7">(J98- MIN($J$2:$J$130) )/ (MAX($J$2:$J$130) -MIN($J$2:$J$130))</f>
        <v>0.18309859154929578</v>
      </c>
      <c r="N98">
        <f>(player_data_cleaning[[#This Row],[BallProferssion&amp;Creativity]]- MIN(K98:K226) )/ (MAX(K98:K226) -MIN(K98:K226))</f>
        <v>0.13636363636363635</v>
      </c>
      <c r="O98">
        <v>5</v>
      </c>
      <c r="P98">
        <v>8</v>
      </c>
      <c r="Q98">
        <v>9</v>
      </c>
      <c r="R98">
        <v>6</v>
      </c>
      <c r="S98">
        <v>2</v>
      </c>
      <c r="T98">
        <v>1</v>
      </c>
      <c r="U98">
        <v>8</v>
      </c>
      <c r="V98">
        <v>1</v>
      </c>
      <c r="W98">
        <v>2</v>
      </c>
      <c r="X98">
        <v>6</v>
      </c>
      <c r="Y98">
        <v>1</v>
      </c>
      <c r="Z98">
        <v>2</v>
      </c>
      <c r="AA98">
        <v>7</v>
      </c>
      <c r="AB98">
        <v>152</v>
      </c>
      <c r="AC98">
        <v>822</v>
      </c>
      <c r="AD98">
        <v>6</v>
      </c>
      <c r="AE98">
        <v>6</v>
      </c>
      <c r="AF98">
        <v>1</v>
      </c>
      <c r="AG98">
        <v>93</v>
      </c>
      <c r="AH98">
        <v>1</v>
      </c>
      <c r="AI98">
        <v>15</v>
      </c>
      <c r="AJ98">
        <v>6</v>
      </c>
      <c r="AK98">
        <v>648</v>
      </c>
    </row>
    <row r="99" spans="1:37" x14ac:dyDescent="0.25">
      <c r="A99" s="1" t="s">
        <v>217</v>
      </c>
      <c r="B99" s="1" t="s">
        <v>218</v>
      </c>
      <c r="C99" s="1" t="s">
        <v>37</v>
      </c>
      <c r="D99">
        <v>19</v>
      </c>
      <c r="E99">
        <v>188</v>
      </c>
      <c r="F99" s="1" t="s">
        <v>219</v>
      </c>
      <c r="G99" s="1" t="s">
        <v>219</v>
      </c>
      <c r="H99">
        <v>1825</v>
      </c>
      <c r="I99">
        <f>((player_data_cleaning[[#This Row],[goal]]+ player_data_cleaning[[#This Row],[assistTotal]]) /player_data_cleaning[[#This Row],[Mins Played]])* 90</f>
        <v>0</v>
      </c>
      <c r="J99">
        <f>player_data_cleaning[[#This Row],[interceptionPerGame]]+player_data_cleaning[[#This Row],[clearancePerGame]]</f>
        <v>8</v>
      </c>
      <c r="K99">
        <f>(player_data_cleaning[[#This Row],[dribbleWonPerGame]]*0.5) + (player_data_cleaning[[#This Row],[keyPassPerGame]]*0.5)</f>
        <v>0</v>
      </c>
      <c r="L99">
        <f t="shared" si="6"/>
        <v>0</v>
      </c>
      <c r="M99">
        <f t="shared" si="7"/>
        <v>9.8591549295774641E-2</v>
      </c>
      <c r="N99">
        <f>(player_data_cleaning[[#This Row],[BallProferssion&amp;Creativity]]- MIN(K99:K227) )/ (MAX(K99:K227) -MIN(K99:K227))</f>
        <v>0</v>
      </c>
      <c r="O99">
        <v>0</v>
      </c>
      <c r="P99">
        <v>0</v>
      </c>
      <c r="Q99">
        <v>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1</v>
      </c>
      <c r="AB99">
        <v>253</v>
      </c>
      <c r="AC99">
        <v>716</v>
      </c>
      <c r="AD99">
        <v>0</v>
      </c>
      <c r="AE99">
        <v>34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648</v>
      </c>
    </row>
    <row r="100" spans="1:37" x14ac:dyDescent="0.25">
      <c r="A100" s="1" t="s">
        <v>220</v>
      </c>
      <c r="B100" s="1" t="s">
        <v>221</v>
      </c>
      <c r="C100" s="1" t="s">
        <v>33</v>
      </c>
      <c r="D100">
        <v>20</v>
      </c>
      <c r="E100">
        <v>174</v>
      </c>
      <c r="F100" s="1" t="s">
        <v>39</v>
      </c>
      <c r="G100" s="1" t="s">
        <v>39</v>
      </c>
      <c r="H100">
        <v>1238</v>
      </c>
      <c r="I100">
        <f>((player_data_cleaning[[#This Row],[goal]]+ player_data_cleaning[[#This Row],[assistTotal]]) /player_data_cleaning[[#This Row],[Mins Played]])* 90</f>
        <v>0.29079159935379645</v>
      </c>
      <c r="J100">
        <f>player_data_cleaning[[#This Row],[interceptionPerGame]]+player_data_cleaning[[#This Row],[clearancePerGame]]</f>
        <v>5</v>
      </c>
      <c r="K100">
        <f>(player_data_cleaning[[#This Row],[dribbleWonPerGame]]*0.5) + (player_data_cleaning[[#This Row],[keyPassPerGame]]*0.5)</f>
        <v>5</v>
      </c>
      <c r="L100">
        <f t="shared" si="6"/>
        <v>0.30463881837064388</v>
      </c>
      <c r="M100">
        <f t="shared" si="7"/>
        <v>5.6338028169014086E-2</v>
      </c>
      <c r="N100">
        <f>(player_data_cleaning[[#This Row],[BallProferssion&amp;Creativity]]- MIN(K100:K228) )/ (MAX(K100:K228) -MIN(K100:K228))</f>
        <v>0.42857142857142855</v>
      </c>
      <c r="O100">
        <v>3</v>
      </c>
      <c r="P100">
        <v>14</v>
      </c>
      <c r="Q100">
        <v>2</v>
      </c>
      <c r="R100">
        <v>2</v>
      </c>
      <c r="S100">
        <v>4</v>
      </c>
      <c r="T100">
        <v>0</v>
      </c>
      <c r="U100">
        <v>19</v>
      </c>
      <c r="V100">
        <v>5</v>
      </c>
      <c r="W100">
        <v>5</v>
      </c>
      <c r="X100">
        <v>14</v>
      </c>
      <c r="Y100">
        <v>2</v>
      </c>
      <c r="Z100">
        <v>15</v>
      </c>
      <c r="AA100">
        <v>19</v>
      </c>
      <c r="AB100">
        <v>85</v>
      </c>
      <c r="AC100">
        <v>734</v>
      </c>
      <c r="AD100">
        <v>1</v>
      </c>
      <c r="AE100">
        <v>2</v>
      </c>
      <c r="AF100">
        <v>0</v>
      </c>
      <c r="AG100">
        <v>627</v>
      </c>
      <c r="AH100">
        <v>46</v>
      </c>
      <c r="AI100">
        <v>41</v>
      </c>
      <c r="AJ100">
        <v>15</v>
      </c>
      <c r="AK100">
        <v>647</v>
      </c>
    </row>
    <row r="101" spans="1:37" x14ac:dyDescent="0.25">
      <c r="A101" s="1" t="s">
        <v>222</v>
      </c>
      <c r="B101" s="1" t="s">
        <v>184</v>
      </c>
      <c r="C101" s="1" t="s">
        <v>33</v>
      </c>
      <c r="D101">
        <v>20</v>
      </c>
      <c r="E101">
        <v>191</v>
      </c>
      <c r="F101" s="1" t="s">
        <v>59</v>
      </c>
      <c r="G101" s="1" t="s">
        <v>59</v>
      </c>
      <c r="H101">
        <v>2240</v>
      </c>
      <c r="I101">
        <f>((player_data_cleaning[[#This Row],[goal]]+ player_data_cleaning[[#This Row],[assistTotal]]) /player_data_cleaning[[#This Row],[Mins Played]])* 90</f>
        <v>4.0178571428571425E-2</v>
      </c>
      <c r="J101">
        <f>player_data_cleaning[[#This Row],[interceptionPerGame]]+player_data_cleaning[[#This Row],[clearancePerGame]]</f>
        <v>15</v>
      </c>
      <c r="K101">
        <f>(player_data_cleaning[[#This Row],[dribbleWonPerGame]]*0.5) + (player_data_cleaning[[#This Row],[keyPassPerGame]]*0.5)</f>
        <v>1</v>
      </c>
      <c r="L101">
        <f t="shared" si="6"/>
        <v>4.2091836734693869E-2</v>
      </c>
      <c r="M101">
        <f t="shared" si="7"/>
        <v>0.19718309859154928</v>
      </c>
      <c r="N101">
        <f>(player_data_cleaning[[#This Row],[BallProferssion&amp;Creativity]]- MIN(K101:K229) )/ (MAX(K101:K229) -MIN(K101:K229))</f>
        <v>4.7619047619047616E-2</v>
      </c>
      <c r="O101">
        <v>12</v>
      </c>
      <c r="P101">
        <v>4</v>
      </c>
      <c r="Q101">
        <v>3</v>
      </c>
      <c r="R101">
        <v>2</v>
      </c>
      <c r="S101">
        <v>1</v>
      </c>
      <c r="T101">
        <v>0</v>
      </c>
      <c r="U101">
        <v>2</v>
      </c>
      <c r="V101">
        <v>0</v>
      </c>
      <c r="W101">
        <v>2</v>
      </c>
      <c r="X101">
        <v>7</v>
      </c>
      <c r="Y101">
        <v>0</v>
      </c>
      <c r="Z101">
        <v>2</v>
      </c>
      <c r="AA101">
        <v>5</v>
      </c>
      <c r="AB101">
        <v>531</v>
      </c>
      <c r="AC101">
        <v>919</v>
      </c>
      <c r="AD101">
        <v>0</v>
      </c>
      <c r="AE101">
        <v>23</v>
      </c>
      <c r="AF101">
        <v>0</v>
      </c>
      <c r="AG101">
        <v>31</v>
      </c>
      <c r="AH101">
        <v>1</v>
      </c>
      <c r="AI101">
        <v>4</v>
      </c>
      <c r="AJ101">
        <v>8</v>
      </c>
      <c r="AK101">
        <v>647</v>
      </c>
    </row>
    <row r="102" spans="1:37" x14ac:dyDescent="0.25">
      <c r="A102" s="1" t="s">
        <v>223</v>
      </c>
      <c r="B102" s="1" t="s">
        <v>224</v>
      </c>
      <c r="C102" s="1" t="s">
        <v>93</v>
      </c>
      <c r="D102">
        <v>21</v>
      </c>
      <c r="E102">
        <v>189</v>
      </c>
      <c r="F102" s="1" t="s">
        <v>111</v>
      </c>
      <c r="G102" s="1" t="s">
        <v>111</v>
      </c>
      <c r="H102">
        <v>786</v>
      </c>
      <c r="I102">
        <f>((player_data_cleaning[[#This Row],[goal]]+ player_data_cleaning[[#This Row],[assistTotal]]) /player_data_cleaning[[#This Row],[Mins Played]])* 90</f>
        <v>0.22900763358778628</v>
      </c>
      <c r="J102">
        <f>player_data_cleaning[[#This Row],[interceptionPerGame]]+player_data_cleaning[[#This Row],[clearancePerGame]]</f>
        <v>12</v>
      </c>
      <c r="K102">
        <f>(player_data_cleaning[[#This Row],[dribbleWonPerGame]]*0.5) + (player_data_cleaning[[#This Row],[keyPassPerGame]]*0.5)</f>
        <v>10.5</v>
      </c>
      <c r="L102">
        <f t="shared" si="6"/>
        <v>0.23991275899672848</v>
      </c>
      <c r="M102">
        <f t="shared" si="7"/>
        <v>0.15492957746478872</v>
      </c>
      <c r="N102">
        <f>(player_data_cleaning[[#This Row],[BallProferssion&amp;Creativity]]- MIN(K102:K230) )/ (MAX(K102:K230) -MIN(K102:K230))</f>
        <v>0.95238095238095233</v>
      </c>
      <c r="O102">
        <v>4</v>
      </c>
      <c r="P102">
        <v>3</v>
      </c>
      <c r="Q102">
        <v>8</v>
      </c>
      <c r="R102">
        <v>2</v>
      </c>
      <c r="S102">
        <v>0</v>
      </c>
      <c r="T102">
        <v>2</v>
      </c>
      <c r="U102">
        <v>6</v>
      </c>
      <c r="V102">
        <v>7</v>
      </c>
      <c r="W102">
        <v>14</v>
      </c>
      <c r="X102">
        <v>3</v>
      </c>
      <c r="Y102">
        <v>1</v>
      </c>
      <c r="Z102">
        <v>8</v>
      </c>
      <c r="AA102">
        <v>15</v>
      </c>
      <c r="AB102">
        <v>99</v>
      </c>
      <c r="AC102">
        <v>676</v>
      </c>
      <c r="AD102">
        <v>4</v>
      </c>
      <c r="AE102">
        <v>2</v>
      </c>
      <c r="AF102">
        <v>1</v>
      </c>
      <c r="AG102">
        <v>98</v>
      </c>
      <c r="AH102">
        <v>11</v>
      </c>
      <c r="AI102">
        <v>11</v>
      </c>
      <c r="AJ102">
        <v>9</v>
      </c>
      <c r="AK102">
        <v>647</v>
      </c>
    </row>
    <row r="103" spans="1:37" x14ac:dyDescent="0.25">
      <c r="A103" s="1" t="s">
        <v>225</v>
      </c>
      <c r="B103" s="1" t="s">
        <v>226</v>
      </c>
      <c r="C103" s="1" t="s">
        <v>33</v>
      </c>
      <c r="D103">
        <v>21</v>
      </c>
      <c r="E103">
        <v>187</v>
      </c>
      <c r="F103" s="1" t="s">
        <v>45</v>
      </c>
      <c r="G103" s="1" t="s">
        <v>45</v>
      </c>
      <c r="H103">
        <v>1601</v>
      </c>
      <c r="I103">
        <f>((player_data_cleaning[[#This Row],[goal]]+ player_data_cleaning[[#This Row],[assistTotal]]) /player_data_cleaning[[#This Row],[Mins Played]])* 90</f>
        <v>0.11242973141786383</v>
      </c>
      <c r="J103">
        <f>player_data_cleaning[[#This Row],[interceptionPerGame]]+player_data_cleaning[[#This Row],[clearancePerGame]]</f>
        <v>9</v>
      </c>
      <c r="K103">
        <f>(player_data_cleaning[[#This Row],[dribbleWonPerGame]]*0.5) + (player_data_cleaning[[#This Row],[keyPassPerGame]]*0.5)</f>
        <v>11</v>
      </c>
      <c r="L103">
        <f t="shared" si="6"/>
        <v>0.11778352815204782</v>
      </c>
      <c r="M103">
        <f t="shared" si="7"/>
        <v>0.11267605633802817</v>
      </c>
      <c r="N103">
        <f>(player_data_cleaning[[#This Row],[BallProferssion&amp;Creativity]]- MIN(K103:K231) )/ (MAX(K103:K231) -MIN(K103:K231))</f>
        <v>1</v>
      </c>
      <c r="O103">
        <v>4</v>
      </c>
      <c r="P103">
        <v>13</v>
      </c>
      <c r="Q103">
        <v>5</v>
      </c>
      <c r="R103">
        <v>7</v>
      </c>
      <c r="S103">
        <v>1</v>
      </c>
      <c r="T103">
        <v>1</v>
      </c>
      <c r="U103">
        <v>11</v>
      </c>
      <c r="V103">
        <v>9</v>
      </c>
      <c r="W103">
        <v>13</v>
      </c>
      <c r="X103">
        <v>5</v>
      </c>
      <c r="Y103">
        <v>0</v>
      </c>
      <c r="Z103">
        <v>9</v>
      </c>
      <c r="AA103">
        <v>2</v>
      </c>
      <c r="AB103">
        <v>308</v>
      </c>
      <c r="AC103">
        <v>819</v>
      </c>
      <c r="AD103">
        <v>1</v>
      </c>
      <c r="AE103">
        <v>4</v>
      </c>
      <c r="AF103">
        <v>1</v>
      </c>
      <c r="AG103">
        <v>193</v>
      </c>
      <c r="AH103">
        <v>11</v>
      </c>
      <c r="AI103">
        <v>26</v>
      </c>
      <c r="AJ103">
        <v>7</v>
      </c>
      <c r="AK103">
        <v>647</v>
      </c>
    </row>
    <row r="104" spans="1:37" x14ac:dyDescent="0.25">
      <c r="A104" s="1" t="s">
        <v>227</v>
      </c>
      <c r="B104" s="1" t="s">
        <v>174</v>
      </c>
      <c r="C104" s="1" t="s">
        <v>123</v>
      </c>
      <c r="D104">
        <v>19</v>
      </c>
      <c r="E104">
        <v>178</v>
      </c>
      <c r="F104" s="1" t="s">
        <v>34</v>
      </c>
      <c r="G104" s="1" t="s">
        <v>39</v>
      </c>
      <c r="H104">
        <v>1388</v>
      </c>
      <c r="I104">
        <f>((player_data_cleaning[[#This Row],[goal]]+ player_data_cleaning[[#This Row],[assistTotal]]) /player_data_cleaning[[#This Row],[Mins Played]])* 90</f>
        <v>0.12968299711815562</v>
      </c>
      <c r="J104">
        <f>player_data_cleaning[[#This Row],[interceptionPerGame]]+player_data_cleaning[[#This Row],[clearancePerGame]]</f>
        <v>7</v>
      </c>
      <c r="K104">
        <f>(player_data_cleaning[[#This Row],[dribbleWonPerGame]]*0.5) + (player_data_cleaning[[#This Row],[keyPassPerGame]]*0.5)</f>
        <v>10</v>
      </c>
      <c r="L104">
        <f t="shared" si="6"/>
        <v>0.13585837793330588</v>
      </c>
      <c r="M104">
        <f t="shared" si="7"/>
        <v>8.4507042253521125E-2</v>
      </c>
      <c r="N104">
        <f>(player_data_cleaning[[#This Row],[BallProferssion&amp;Creativity]]- MIN(K104:K232) )/ (MAX(K104:K232) -MIN(K104:K232))</f>
        <v>1</v>
      </c>
      <c r="O104">
        <v>3</v>
      </c>
      <c r="P104">
        <v>1</v>
      </c>
      <c r="Q104">
        <v>4</v>
      </c>
      <c r="R104">
        <v>3</v>
      </c>
      <c r="S104">
        <v>2</v>
      </c>
      <c r="T104">
        <v>0</v>
      </c>
      <c r="U104">
        <v>1</v>
      </c>
      <c r="V104">
        <v>7</v>
      </c>
      <c r="W104">
        <v>13</v>
      </c>
      <c r="X104">
        <v>17</v>
      </c>
      <c r="Y104">
        <v>0</v>
      </c>
      <c r="Z104">
        <v>16</v>
      </c>
      <c r="AA104">
        <v>14</v>
      </c>
      <c r="AB104">
        <v>178</v>
      </c>
      <c r="AC104">
        <v>819</v>
      </c>
      <c r="AD104">
        <v>3</v>
      </c>
      <c r="AE104">
        <v>5</v>
      </c>
      <c r="AF104">
        <v>0</v>
      </c>
      <c r="AG104">
        <v>239</v>
      </c>
      <c r="AH104">
        <v>15</v>
      </c>
      <c r="AI104">
        <v>23</v>
      </c>
      <c r="AJ104">
        <v>1</v>
      </c>
      <c r="AK104">
        <v>646</v>
      </c>
    </row>
    <row r="105" spans="1:37" x14ac:dyDescent="0.25">
      <c r="A105" s="1" t="s">
        <v>228</v>
      </c>
      <c r="B105" s="1" t="s">
        <v>211</v>
      </c>
      <c r="C105" s="1" t="s">
        <v>33</v>
      </c>
      <c r="D105">
        <v>21</v>
      </c>
      <c r="E105">
        <v>184</v>
      </c>
      <c r="F105" s="1" t="s">
        <v>69</v>
      </c>
      <c r="G105" s="1" t="s">
        <v>70</v>
      </c>
      <c r="H105">
        <v>768</v>
      </c>
      <c r="I105">
        <f>((player_data_cleaning[[#This Row],[goal]]+ player_data_cleaning[[#This Row],[assistTotal]]) /player_data_cleaning[[#This Row],[Mins Played]])* 90</f>
        <v>0.234375</v>
      </c>
      <c r="J105">
        <f>player_data_cleaning[[#This Row],[interceptionPerGame]]+player_data_cleaning[[#This Row],[clearancePerGame]]</f>
        <v>18</v>
      </c>
      <c r="K105">
        <f>(player_data_cleaning[[#This Row],[dribbleWonPerGame]]*0.5) + (player_data_cleaning[[#This Row],[keyPassPerGame]]*0.5)</f>
        <v>6</v>
      </c>
      <c r="L105">
        <f t="shared" si="6"/>
        <v>0.24553571428571427</v>
      </c>
      <c r="M105">
        <f t="shared" si="7"/>
        <v>0.23943661971830985</v>
      </c>
      <c r="N105">
        <f>(player_data_cleaning[[#This Row],[BallProferssion&amp;Creativity]]- MIN(K105:K233) )/ (MAX(K105:K233) -MIN(K105:K233))</f>
        <v>0.84615384615384615</v>
      </c>
      <c r="O105">
        <v>6</v>
      </c>
      <c r="P105">
        <v>4</v>
      </c>
      <c r="Q105">
        <v>12</v>
      </c>
      <c r="R105">
        <v>4</v>
      </c>
      <c r="S105">
        <v>0</v>
      </c>
      <c r="T105">
        <v>2</v>
      </c>
      <c r="U105">
        <v>2</v>
      </c>
      <c r="V105">
        <v>9</v>
      </c>
      <c r="W105">
        <v>3</v>
      </c>
      <c r="X105">
        <v>3</v>
      </c>
      <c r="Y105">
        <v>0</v>
      </c>
      <c r="Z105">
        <v>5</v>
      </c>
      <c r="AA105">
        <v>8</v>
      </c>
      <c r="AB105">
        <v>239</v>
      </c>
      <c r="AC105">
        <v>832</v>
      </c>
      <c r="AD105">
        <v>4</v>
      </c>
      <c r="AE105">
        <v>1</v>
      </c>
      <c r="AF105">
        <v>0</v>
      </c>
      <c r="AG105">
        <v>22</v>
      </c>
      <c r="AH105">
        <v>3</v>
      </c>
      <c r="AI105">
        <v>3</v>
      </c>
      <c r="AJ105">
        <v>7</v>
      </c>
      <c r="AK105">
        <v>645</v>
      </c>
    </row>
    <row r="106" spans="1:37" x14ac:dyDescent="0.25">
      <c r="A106" s="1" t="s">
        <v>229</v>
      </c>
      <c r="B106" s="1" t="s">
        <v>184</v>
      </c>
      <c r="C106" s="1" t="s">
        <v>33</v>
      </c>
      <c r="D106">
        <v>21</v>
      </c>
      <c r="E106">
        <v>178</v>
      </c>
      <c r="F106" s="1" t="s">
        <v>81</v>
      </c>
      <c r="G106" s="1" t="s">
        <v>81</v>
      </c>
      <c r="H106">
        <v>1689</v>
      </c>
      <c r="I106">
        <f>((player_data_cleaning[[#This Row],[goal]]+ player_data_cleaning[[#This Row],[assistTotal]]) /player_data_cleaning[[#This Row],[Mins Played]])* 90</f>
        <v>0.21314387211367672</v>
      </c>
      <c r="J106">
        <f>player_data_cleaning[[#This Row],[interceptionPerGame]]+player_data_cleaning[[#This Row],[clearancePerGame]]</f>
        <v>15</v>
      </c>
      <c r="K106">
        <f>(player_data_cleaning[[#This Row],[dribbleWonPerGame]]*0.5) + (player_data_cleaning[[#This Row],[keyPassPerGame]]*0.5)</f>
        <v>7</v>
      </c>
      <c r="L106">
        <f t="shared" si="6"/>
        <v>0.22329358030956609</v>
      </c>
      <c r="M106">
        <f t="shared" si="7"/>
        <v>0.19718309859154928</v>
      </c>
      <c r="N106">
        <f>(player_data_cleaning[[#This Row],[BallProferssion&amp;Creativity]]- MIN(K106:K234) )/ (MAX(K106:K234) -MIN(K106:K234))</f>
        <v>1</v>
      </c>
      <c r="O106">
        <v>4</v>
      </c>
      <c r="P106">
        <v>9</v>
      </c>
      <c r="Q106">
        <v>11</v>
      </c>
      <c r="R106">
        <v>8</v>
      </c>
      <c r="S106">
        <v>1</v>
      </c>
      <c r="T106">
        <v>3</v>
      </c>
      <c r="U106">
        <v>12</v>
      </c>
      <c r="V106">
        <v>6</v>
      </c>
      <c r="W106">
        <v>8</v>
      </c>
      <c r="X106">
        <v>1</v>
      </c>
      <c r="Y106">
        <v>0</v>
      </c>
      <c r="Z106">
        <v>16</v>
      </c>
      <c r="AA106">
        <v>16</v>
      </c>
      <c r="AB106">
        <v>296</v>
      </c>
      <c r="AC106">
        <v>801</v>
      </c>
      <c r="AD106">
        <v>4</v>
      </c>
      <c r="AE106">
        <v>14</v>
      </c>
      <c r="AF106">
        <v>0</v>
      </c>
      <c r="AG106">
        <v>169</v>
      </c>
      <c r="AH106">
        <v>9</v>
      </c>
      <c r="AI106">
        <v>29</v>
      </c>
      <c r="AJ106">
        <v>6</v>
      </c>
      <c r="AK106">
        <v>645</v>
      </c>
    </row>
    <row r="107" spans="1:37" x14ac:dyDescent="0.25">
      <c r="A107" s="1" t="s">
        <v>230</v>
      </c>
      <c r="B107" s="1" t="s">
        <v>155</v>
      </c>
      <c r="C107" s="1" t="s">
        <v>37</v>
      </c>
      <c r="D107">
        <v>20</v>
      </c>
      <c r="E107">
        <v>177</v>
      </c>
      <c r="F107" s="1" t="s">
        <v>83</v>
      </c>
      <c r="G107" s="1" t="s">
        <v>83</v>
      </c>
      <c r="H107">
        <v>668</v>
      </c>
      <c r="I107">
        <f>((player_data_cleaning[[#This Row],[goal]]+ player_data_cleaning[[#This Row],[assistTotal]]) /player_data_cleaning[[#This Row],[Mins Played]])* 90</f>
        <v>0.26946107784431139</v>
      </c>
      <c r="J107">
        <f>player_data_cleaning[[#This Row],[interceptionPerGame]]+player_data_cleaning[[#This Row],[clearancePerGame]]</f>
        <v>4</v>
      </c>
      <c r="K107">
        <f>(player_data_cleaning[[#This Row],[dribbleWonPerGame]]*0.5) + (player_data_cleaning[[#This Row],[keyPassPerGame]]*0.5)</f>
        <v>5.5</v>
      </c>
      <c r="L107">
        <f t="shared" si="6"/>
        <v>0.28229255774165957</v>
      </c>
      <c r="M107">
        <f t="shared" si="7"/>
        <v>4.2253521126760563E-2</v>
      </c>
      <c r="N107">
        <f>(player_data_cleaning[[#This Row],[BallProferssion&amp;Creativity]]- MIN(K107:K235) )/ (MAX(K107:K235) -MIN(K107:K235))</f>
        <v>0.76923076923076927</v>
      </c>
      <c r="O107">
        <v>3</v>
      </c>
      <c r="P107">
        <v>4</v>
      </c>
      <c r="Q107">
        <v>1</v>
      </c>
      <c r="R107">
        <v>4</v>
      </c>
      <c r="S107">
        <v>2</v>
      </c>
      <c r="T107">
        <v>0</v>
      </c>
      <c r="U107">
        <v>12</v>
      </c>
      <c r="V107">
        <v>6</v>
      </c>
      <c r="W107">
        <v>5</v>
      </c>
      <c r="X107">
        <v>7</v>
      </c>
      <c r="Y107">
        <v>1</v>
      </c>
      <c r="Z107">
        <v>6</v>
      </c>
      <c r="AA107">
        <v>7</v>
      </c>
      <c r="AB107">
        <v>138</v>
      </c>
      <c r="AC107">
        <v>823</v>
      </c>
      <c r="AD107">
        <v>2</v>
      </c>
      <c r="AE107">
        <v>5</v>
      </c>
      <c r="AF107">
        <v>1</v>
      </c>
      <c r="AG107">
        <v>136</v>
      </c>
      <c r="AH107">
        <v>18</v>
      </c>
      <c r="AI107">
        <v>22</v>
      </c>
      <c r="AJ107">
        <v>6</v>
      </c>
      <c r="AK107">
        <v>645</v>
      </c>
    </row>
    <row r="108" spans="1:37" x14ac:dyDescent="0.25">
      <c r="A108" s="1" t="s">
        <v>231</v>
      </c>
      <c r="B108" s="1" t="s">
        <v>232</v>
      </c>
      <c r="C108" s="1" t="s">
        <v>37</v>
      </c>
      <c r="D108">
        <v>19</v>
      </c>
      <c r="E108">
        <v>185</v>
      </c>
      <c r="F108" s="1" t="s">
        <v>83</v>
      </c>
      <c r="G108" s="1" t="s">
        <v>83</v>
      </c>
      <c r="H108">
        <v>1507</v>
      </c>
      <c r="I108">
        <f>((player_data_cleaning[[#This Row],[goal]]+ player_data_cleaning[[#This Row],[assistTotal]]) /player_data_cleaning[[#This Row],[Mins Played]])* 90</f>
        <v>0.23888520238885202</v>
      </c>
      <c r="J108">
        <f>player_data_cleaning[[#This Row],[interceptionPerGame]]+player_data_cleaning[[#This Row],[clearancePerGame]]</f>
        <v>8</v>
      </c>
      <c r="K108">
        <f>(player_data_cleaning[[#This Row],[dribbleWonPerGame]]*0.5) + (player_data_cleaning[[#This Row],[keyPassPerGame]]*0.5)</f>
        <v>4</v>
      </c>
      <c r="L108">
        <f t="shared" si="6"/>
        <v>0.25026068821689257</v>
      </c>
      <c r="M108">
        <f t="shared" si="7"/>
        <v>9.8591549295774641E-2</v>
      </c>
      <c r="N108">
        <f>(player_data_cleaning[[#This Row],[BallProferssion&amp;Creativity]]- MIN(K108:K236) )/ (MAX(K108:K236) -MIN(K108:K236))</f>
        <v>0.53846153846153844</v>
      </c>
      <c r="O108">
        <v>2</v>
      </c>
      <c r="P108">
        <v>9</v>
      </c>
      <c r="Q108">
        <v>6</v>
      </c>
      <c r="R108">
        <v>7</v>
      </c>
      <c r="S108">
        <v>3</v>
      </c>
      <c r="T108">
        <v>1</v>
      </c>
      <c r="U108">
        <v>1</v>
      </c>
      <c r="V108">
        <v>7</v>
      </c>
      <c r="W108">
        <v>1</v>
      </c>
      <c r="X108">
        <v>5</v>
      </c>
      <c r="Y108">
        <v>0</v>
      </c>
      <c r="Z108">
        <v>14</v>
      </c>
      <c r="AA108">
        <v>16</v>
      </c>
      <c r="AB108">
        <v>224</v>
      </c>
      <c r="AC108">
        <v>766</v>
      </c>
      <c r="AD108">
        <v>5</v>
      </c>
      <c r="AE108">
        <v>9</v>
      </c>
      <c r="AF108">
        <v>0</v>
      </c>
      <c r="AG108">
        <v>355</v>
      </c>
      <c r="AH108">
        <v>21</v>
      </c>
      <c r="AI108">
        <v>22</v>
      </c>
      <c r="AJ108">
        <v>16</v>
      </c>
      <c r="AK108">
        <v>644</v>
      </c>
    </row>
    <row r="109" spans="1:37" x14ac:dyDescent="0.25">
      <c r="A109" s="1" t="s">
        <v>233</v>
      </c>
      <c r="B109" s="1" t="s">
        <v>122</v>
      </c>
      <c r="C109" s="1" t="s">
        <v>123</v>
      </c>
      <c r="D109">
        <v>21</v>
      </c>
      <c r="E109">
        <v>187</v>
      </c>
      <c r="F109" s="1" t="s">
        <v>111</v>
      </c>
      <c r="G109" s="1" t="s">
        <v>111</v>
      </c>
      <c r="H109">
        <v>1057</v>
      </c>
      <c r="I109">
        <f>((player_data_cleaning[[#This Row],[goal]]+ player_data_cleaning[[#This Row],[assistTotal]]) /player_data_cleaning[[#This Row],[Mins Played]])* 90</f>
        <v>0.51087984862819302</v>
      </c>
      <c r="J109">
        <f>player_data_cleaning[[#This Row],[interceptionPerGame]]+player_data_cleaning[[#This Row],[clearancePerGame]]</f>
        <v>4</v>
      </c>
      <c r="K109">
        <f>(player_data_cleaning[[#This Row],[dribbleWonPerGame]]*0.5) + (player_data_cleaning[[#This Row],[keyPassPerGame]]*0.5)</f>
        <v>4</v>
      </c>
      <c r="L109">
        <f t="shared" si="6"/>
        <v>0.53520746046763079</v>
      </c>
      <c r="M109">
        <f t="shared" si="7"/>
        <v>4.2253521126760563E-2</v>
      </c>
      <c r="N109">
        <f>(player_data_cleaning[[#This Row],[BallProferssion&amp;Creativity]]- MIN(K109:K237) )/ (MAX(K109:K237) -MIN(K109:K237))</f>
        <v>0.53846153846153844</v>
      </c>
      <c r="O109">
        <v>1</v>
      </c>
      <c r="P109">
        <v>7</v>
      </c>
      <c r="Q109">
        <v>3</v>
      </c>
      <c r="R109">
        <v>1</v>
      </c>
      <c r="S109">
        <v>3</v>
      </c>
      <c r="T109">
        <v>3</v>
      </c>
      <c r="U109">
        <v>1</v>
      </c>
      <c r="V109">
        <v>5</v>
      </c>
      <c r="W109">
        <v>3</v>
      </c>
      <c r="X109">
        <v>1</v>
      </c>
      <c r="Y109">
        <v>3</v>
      </c>
      <c r="Z109">
        <v>5</v>
      </c>
      <c r="AA109">
        <v>16</v>
      </c>
      <c r="AB109">
        <v>117</v>
      </c>
      <c r="AC109">
        <v>761</v>
      </c>
      <c r="AD109">
        <v>1</v>
      </c>
      <c r="AE109">
        <v>3</v>
      </c>
      <c r="AF109">
        <v>0</v>
      </c>
      <c r="AG109">
        <v>414</v>
      </c>
      <c r="AH109">
        <v>35</v>
      </c>
      <c r="AI109">
        <v>24</v>
      </c>
      <c r="AJ109">
        <v>17</v>
      </c>
      <c r="AK109">
        <v>643</v>
      </c>
    </row>
    <row r="110" spans="1:37" x14ac:dyDescent="0.25">
      <c r="A110" s="1" t="s">
        <v>234</v>
      </c>
      <c r="B110" s="1" t="s">
        <v>235</v>
      </c>
      <c r="C110" s="1" t="s">
        <v>33</v>
      </c>
      <c r="D110">
        <v>21</v>
      </c>
      <c r="E110">
        <v>178</v>
      </c>
      <c r="F110" s="1" t="s">
        <v>64</v>
      </c>
      <c r="G110" s="1" t="s">
        <v>116</v>
      </c>
      <c r="H110">
        <v>1546</v>
      </c>
      <c r="I110">
        <f>((player_data_cleaning[[#This Row],[goal]]+ player_data_cleaning[[#This Row],[assistTotal]]) /player_data_cleaning[[#This Row],[Mins Played]])* 90</f>
        <v>5.8214747736093149E-2</v>
      </c>
      <c r="J110">
        <f>player_data_cleaning[[#This Row],[interceptionPerGame]]+player_data_cleaning[[#This Row],[clearancePerGame]]</f>
        <v>21</v>
      </c>
      <c r="K110">
        <f>(player_data_cleaning[[#This Row],[dribbleWonPerGame]]*0.5) + (player_data_cleaning[[#This Row],[keyPassPerGame]]*0.5)</f>
        <v>3.5</v>
      </c>
      <c r="L110">
        <f t="shared" si="6"/>
        <v>6.0986878580669007E-2</v>
      </c>
      <c r="M110">
        <f t="shared" si="7"/>
        <v>0.28169014084507044</v>
      </c>
      <c r="N110">
        <f>(player_data_cleaning[[#This Row],[BallProferssion&amp;Creativity]]- MIN(K110:K238) )/ (MAX(K110:K238) -MIN(K110:K238))</f>
        <v>0.46153846153846156</v>
      </c>
      <c r="O110">
        <v>8</v>
      </c>
      <c r="P110">
        <v>7</v>
      </c>
      <c r="Q110">
        <v>13</v>
      </c>
      <c r="R110">
        <v>9</v>
      </c>
      <c r="S110">
        <v>0</v>
      </c>
      <c r="T110">
        <v>1</v>
      </c>
      <c r="U110">
        <v>8</v>
      </c>
      <c r="V110">
        <v>6</v>
      </c>
      <c r="W110">
        <v>1</v>
      </c>
      <c r="X110">
        <v>7</v>
      </c>
      <c r="Y110">
        <v>0</v>
      </c>
      <c r="Z110">
        <v>6</v>
      </c>
      <c r="AA110">
        <v>6</v>
      </c>
      <c r="AB110">
        <v>437</v>
      </c>
      <c r="AC110">
        <v>889</v>
      </c>
      <c r="AD110">
        <v>3</v>
      </c>
      <c r="AE110">
        <v>15</v>
      </c>
      <c r="AF110">
        <v>0</v>
      </c>
      <c r="AG110">
        <v>137</v>
      </c>
      <c r="AH110">
        <v>8</v>
      </c>
      <c r="AI110">
        <v>19</v>
      </c>
      <c r="AJ110">
        <v>7</v>
      </c>
      <c r="AK110">
        <v>643</v>
      </c>
    </row>
    <row r="111" spans="1:37" x14ac:dyDescent="0.25">
      <c r="A111" s="1" t="s">
        <v>236</v>
      </c>
      <c r="B111" s="1" t="s">
        <v>122</v>
      </c>
      <c r="C111" s="1" t="s">
        <v>123</v>
      </c>
      <c r="D111">
        <v>21</v>
      </c>
      <c r="E111">
        <v>180</v>
      </c>
      <c r="F111" s="1" t="s">
        <v>81</v>
      </c>
      <c r="G111" s="1" t="s">
        <v>81</v>
      </c>
      <c r="H111">
        <v>973</v>
      </c>
      <c r="I111">
        <f>((player_data_cleaning[[#This Row],[goal]]+ player_data_cleaning[[#This Row],[assistTotal]]) /player_data_cleaning[[#This Row],[Mins Played]])* 90</f>
        <v>0</v>
      </c>
      <c r="J111">
        <f>player_data_cleaning[[#This Row],[interceptionPerGame]]+player_data_cleaning[[#This Row],[clearancePerGame]]</f>
        <v>5</v>
      </c>
      <c r="K111">
        <f>(player_data_cleaning[[#This Row],[dribbleWonPerGame]]*0.5) + (player_data_cleaning[[#This Row],[keyPassPerGame]]*0.5)</f>
        <v>6.5</v>
      </c>
      <c r="L111">
        <f t="shared" si="6"/>
        <v>0</v>
      </c>
      <c r="M111">
        <f t="shared" si="7"/>
        <v>5.6338028169014086E-2</v>
      </c>
      <c r="N111">
        <f>(player_data_cleaning[[#This Row],[BallProferssion&amp;Creativity]]- MIN(K111:K239) )/ (MAX(K111:K239) -MIN(K111:K239))</f>
        <v>0.92307692307692313</v>
      </c>
      <c r="O111">
        <v>2</v>
      </c>
      <c r="P111">
        <v>1</v>
      </c>
      <c r="Q111">
        <v>3</v>
      </c>
      <c r="R111">
        <v>7</v>
      </c>
      <c r="S111">
        <v>0</v>
      </c>
      <c r="T111">
        <v>0</v>
      </c>
      <c r="U111">
        <v>2</v>
      </c>
      <c r="V111">
        <v>9</v>
      </c>
      <c r="W111">
        <v>4</v>
      </c>
      <c r="X111">
        <v>5</v>
      </c>
      <c r="Y111">
        <v>1</v>
      </c>
      <c r="Z111">
        <v>5</v>
      </c>
      <c r="AA111">
        <v>5</v>
      </c>
      <c r="AB111">
        <v>464</v>
      </c>
      <c r="AC111">
        <v>883</v>
      </c>
      <c r="AD111">
        <v>6</v>
      </c>
      <c r="AE111">
        <v>29</v>
      </c>
      <c r="AF111">
        <v>1</v>
      </c>
      <c r="AG111">
        <v>2</v>
      </c>
      <c r="AH111">
        <v>2</v>
      </c>
      <c r="AI111">
        <v>3</v>
      </c>
      <c r="AJ111">
        <v>7</v>
      </c>
      <c r="AK111">
        <v>642</v>
      </c>
    </row>
    <row r="112" spans="1:37" x14ac:dyDescent="0.25">
      <c r="A112" s="1" t="s">
        <v>237</v>
      </c>
      <c r="B112" s="1" t="s">
        <v>198</v>
      </c>
      <c r="C112" s="1" t="s">
        <v>37</v>
      </c>
      <c r="D112">
        <v>20</v>
      </c>
      <c r="E112">
        <v>180</v>
      </c>
      <c r="F112" s="1" t="s">
        <v>38</v>
      </c>
      <c r="G112" s="1" t="s">
        <v>38</v>
      </c>
      <c r="H112">
        <v>1481</v>
      </c>
      <c r="I112">
        <f>((player_data_cleaning[[#This Row],[goal]]+ player_data_cleaning[[#This Row],[assistTotal]]) /player_data_cleaning[[#This Row],[Mins Played]])* 90</f>
        <v>0.24307900067521945</v>
      </c>
      <c r="J112">
        <f>player_data_cleaning[[#This Row],[interceptionPerGame]]+player_data_cleaning[[#This Row],[clearancePerGame]]</f>
        <v>7</v>
      </c>
      <c r="K112">
        <f>(player_data_cleaning[[#This Row],[dribbleWonPerGame]]*0.5) + (player_data_cleaning[[#This Row],[keyPassPerGame]]*0.5)</f>
        <v>7</v>
      </c>
      <c r="L112">
        <f t="shared" si="6"/>
        <v>0.25465419118356325</v>
      </c>
      <c r="M112">
        <f t="shared" si="7"/>
        <v>8.4507042253521125E-2</v>
      </c>
      <c r="N112">
        <f>(player_data_cleaning[[#This Row],[BallProferssion&amp;Creativity]]- MIN(K112:K240) )/ (MAX(K112:K240) -MIN(K112:K240))</f>
        <v>1</v>
      </c>
      <c r="O112">
        <v>4</v>
      </c>
      <c r="P112">
        <v>2</v>
      </c>
      <c r="Q112">
        <v>3</v>
      </c>
      <c r="R112">
        <v>5</v>
      </c>
      <c r="S112">
        <v>3</v>
      </c>
      <c r="T112">
        <v>1</v>
      </c>
      <c r="U112">
        <v>22</v>
      </c>
      <c r="V112">
        <v>8</v>
      </c>
      <c r="W112">
        <v>6</v>
      </c>
      <c r="X112">
        <v>11</v>
      </c>
      <c r="Y112">
        <v>2</v>
      </c>
      <c r="Z112">
        <v>13</v>
      </c>
      <c r="AA112">
        <v>17</v>
      </c>
      <c r="AB112">
        <v>192</v>
      </c>
      <c r="AC112">
        <v>829</v>
      </c>
      <c r="AD112">
        <v>2</v>
      </c>
      <c r="AE112">
        <v>5</v>
      </c>
      <c r="AF112">
        <v>0</v>
      </c>
      <c r="AG112">
        <v>714</v>
      </c>
      <c r="AH112">
        <v>43</v>
      </c>
      <c r="AI112">
        <v>57</v>
      </c>
      <c r="AJ112">
        <v>13</v>
      </c>
      <c r="AK112">
        <v>641</v>
      </c>
    </row>
    <row r="113" spans="1:37" x14ac:dyDescent="0.25">
      <c r="A113" s="1" t="s">
        <v>238</v>
      </c>
      <c r="B113" s="1" t="s">
        <v>99</v>
      </c>
      <c r="C113" s="1" t="s">
        <v>33</v>
      </c>
      <c r="D113">
        <v>18</v>
      </c>
      <c r="E113">
        <v>185</v>
      </c>
      <c r="F113" s="1" t="s">
        <v>39</v>
      </c>
      <c r="G113" s="1" t="s">
        <v>39</v>
      </c>
      <c r="H113">
        <v>612</v>
      </c>
      <c r="I113">
        <f>((player_data_cleaning[[#This Row],[goal]]+ player_data_cleaning[[#This Row],[assistTotal]]) /player_data_cleaning[[#This Row],[Mins Played]])* 90</f>
        <v>0.73529411764705888</v>
      </c>
      <c r="J113">
        <f>player_data_cleaning[[#This Row],[interceptionPerGame]]+player_data_cleaning[[#This Row],[clearancePerGame]]</f>
        <v>1</v>
      </c>
      <c r="K113">
        <f>(player_data_cleaning[[#This Row],[dribbleWonPerGame]]*0.5) + (player_data_cleaning[[#This Row],[keyPassPerGame]]*0.5)</f>
        <v>3</v>
      </c>
      <c r="L113">
        <f t="shared" si="6"/>
        <v>0.77030812324929976</v>
      </c>
      <c r="M113">
        <f t="shared" si="7"/>
        <v>0</v>
      </c>
      <c r="N113">
        <f>(player_data_cleaning[[#This Row],[BallProferssion&amp;Creativity]]- MIN(K113:K241) )/ (MAX(K113:K241) -MIN(K113:K241))</f>
        <v>0.38461538461538464</v>
      </c>
      <c r="O113">
        <v>1</v>
      </c>
      <c r="P113">
        <v>7</v>
      </c>
      <c r="Q113">
        <v>0</v>
      </c>
      <c r="R113">
        <v>1</v>
      </c>
      <c r="S113">
        <v>3</v>
      </c>
      <c r="T113">
        <v>2</v>
      </c>
      <c r="U113">
        <v>1</v>
      </c>
      <c r="V113">
        <v>4</v>
      </c>
      <c r="W113">
        <v>2</v>
      </c>
      <c r="X113">
        <v>4</v>
      </c>
      <c r="Y113">
        <v>5</v>
      </c>
      <c r="Z113">
        <v>7</v>
      </c>
      <c r="AA113">
        <v>5</v>
      </c>
      <c r="AB113">
        <v>52</v>
      </c>
      <c r="AC113">
        <v>735</v>
      </c>
      <c r="AD113">
        <v>0</v>
      </c>
      <c r="AE113">
        <v>1</v>
      </c>
      <c r="AF113">
        <v>0</v>
      </c>
      <c r="AG113">
        <v>437</v>
      </c>
      <c r="AH113">
        <v>64</v>
      </c>
      <c r="AI113">
        <v>19</v>
      </c>
      <c r="AJ113">
        <v>23</v>
      </c>
      <c r="AK113">
        <v>638</v>
      </c>
    </row>
    <row r="114" spans="1:37" x14ac:dyDescent="0.25">
      <c r="A114" s="1" t="s">
        <v>239</v>
      </c>
      <c r="B114" s="1" t="s">
        <v>204</v>
      </c>
      <c r="C114" s="1" t="s">
        <v>205</v>
      </c>
      <c r="D114">
        <v>20</v>
      </c>
      <c r="E114">
        <v>172</v>
      </c>
      <c r="F114" s="1" t="s">
        <v>172</v>
      </c>
      <c r="G114" s="1" t="s">
        <v>172</v>
      </c>
      <c r="H114">
        <v>645</v>
      </c>
      <c r="I114">
        <f>((player_data_cleaning[[#This Row],[goal]]+ player_data_cleaning[[#This Row],[assistTotal]]) /player_data_cleaning[[#This Row],[Mins Played]])* 90</f>
        <v>0</v>
      </c>
      <c r="J114">
        <f>player_data_cleaning[[#This Row],[interceptionPerGame]]+player_data_cleaning[[#This Row],[clearancePerGame]]</f>
        <v>14</v>
      </c>
      <c r="K114">
        <f>(player_data_cleaning[[#This Row],[dribbleWonPerGame]]*0.5) + (player_data_cleaning[[#This Row],[keyPassPerGame]]*0.5)</f>
        <v>5</v>
      </c>
      <c r="L114">
        <f t="shared" si="6"/>
        <v>0</v>
      </c>
      <c r="M114">
        <f t="shared" si="7"/>
        <v>0.18309859154929578</v>
      </c>
      <c r="N114">
        <f>(player_data_cleaning[[#This Row],[BallProferssion&amp;Creativity]]- MIN(K114:K242) )/ (MAX(K114:K242) -MIN(K114:K242))</f>
        <v>0.69230769230769229</v>
      </c>
      <c r="O114">
        <v>5</v>
      </c>
      <c r="P114">
        <v>1</v>
      </c>
      <c r="Q114">
        <v>9</v>
      </c>
      <c r="R114">
        <v>7</v>
      </c>
      <c r="S114">
        <v>0</v>
      </c>
      <c r="T114">
        <v>0</v>
      </c>
      <c r="U114">
        <v>6</v>
      </c>
      <c r="V114">
        <v>4</v>
      </c>
      <c r="W114">
        <v>6</v>
      </c>
      <c r="X114">
        <v>15</v>
      </c>
      <c r="Y114">
        <v>0</v>
      </c>
      <c r="Z114">
        <v>7</v>
      </c>
      <c r="AA114">
        <v>8</v>
      </c>
      <c r="AB114">
        <v>261</v>
      </c>
      <c r="AC114">
        <v>864</v>
      </c>
      <c r="AD114">
        <v>1</v>
      </c>
      <c r="AE114">
        <v>2</v>
      </c>
      <c r="AF114">
        <v>1</v>
      </c>
      <c r="AG114">
        <v>77</v>
      </c>
      <c r="AH114">
        <v>11</v>
      </c>
      <c r="AI114">
        <v>8</v>
      </c>
      <c r="AJ114">
        <v>1</v>
      </c>
      <c r="AK114">
        <v>636</v>
      </c>
    </row>
    <row r="115" spans="1:37" x14ac:dyDescent="0.25">
      <c r="A115" s="1" t="s">
        <v>240</v>
      </c>
      <c r="B115" s="1" t="s">
        <v>186</v>
      </c>
      <c r="C115" s="1" t="s">
        <v>33</v>
      </c>
      <c r="D115">
        <v>21</v>
      </c>
      <c r="E115">
        <v>190</v>
      </c>
      <c r="F115" s="1" t="s">
        <v>59</v>
      </c>
      <c r="G115" s="1" t="s">
        <v>59</v>
      </c>
      <c r="H115">
        <v>843</v>
      </c>
      <c r="I115">
        <f>((player_data_cleaning[[#This Row],[goal]]+ player_data_cleaning[[#This Row],[assistTotal]]) /player_data_cleaning[[#This Row],[Mins Played]])* 90</f>
        <v>0</v>
      </c>
      <c r="J115">
        <f>player_data_cleaning[[#This Row],[interceptionPerGame]]+player_data_cleaning[[#This Row],[clearancePerGame]]</f>
        <v>39</v>
      </c>
      <c r="K115">
        <f>(player_data_cleaning[[#This Row],[dribbleWonPerGame]]*0.5) + (player_data_cleaning[[#This Row],[keyPassPerGame]]*0.5)</f>
        <v>3</v>
      </c>
      <c r="L115">
        <f t="shared" si="6"/>
        <v>0</v>
      </c>
      <c r="M115">
        <f t="shared" si="7"/>
        <v>0.53521126760563376</v>
      </c>
      <c r="N115">
        <f>(player_data_cleaning[[#This Row],[BallProferssion&amp;Creativity]]- MIN(K115:K243) )/ (MAX(K115:K243) -MIN(K115:K243))</f>
        <v>0.38461538461538464</v>
      </c>
      <c r="O115">
        <v>5</v>
      </c>
      <c r="P115">
        <v>6</v>
      </c>
      <c r="Q115">
        <v>34</v>
      </c>
      <c r="R115">
        <v>2</v>
      </c>
      <c r="S115">
        <v>0</v>
      </c>
      <c r="T115">
        <v>0</v>
      </c>
      <c r="U115">
        <v>4</v>
      </c>
      <c r="V115">
        <v>4</v>
      </c>
      <c r="W115">
        <v>2</v>
      </c>
      <c r="X115">
        <v>5</v>
      </c>
      <c r="Y115">
        <v>0</v>
      </c>
      <c r="Z115">
        <v>1</v>
      </c>
      <c r="AA115">
        <v>2</v>
      </c>
      <c r="AB115">
        <v>244</v>
      </c>
      <c r="AC115">
        <v>814</v>
      </c>
      <c r="AD115">
        <v>0</v>
      </c>
      <c r="AE115">
        <v>22</v>
      </c>
      <c r="AF115">
        <v>1</v>
      </c>
      <c r="AG115">
        <v>67</v>
      </c>
      <c r="AH115">
        <v>7</v>
      </c>
      <c r="AI115">
        <v>6</v>
      </c>
      <c r="AJ115">
        <v>11</v>
      </c>
      <c r="AK115">
        <v>635</v>
      </c>
    </row>
    <row r="116" spans="1:37" x14ac:dyDescent="0.25">
      <c r="A116" s="1" t="s">
        <v>241</v>
      </c>
      <c r="B116" s="1" t="s">
        <v>77</v>
      </c>
      <c r="C116" s="1" t="s">
        <v>44</v>
      </c>
      <c r="D116">
        <v>19</v>
      </c>
      <c r="E116">
        <v>180</v>
      </c>
      <c r="F116" s="1" t="s">
        <v>39</v>
      </c>
      <c r="G116" s="1" t="s">
        <v>39</v>
      </c>
      <c r="H116">
        <v>509</v>
      </c>
      <c r="I116">
        <f>((player_data_cleaning[[#This Row],[goal]]+ player_data_cleaning[[#This Row],[assistTotal]]) /player_data_cleaning[[#This Row],[Mins Played]])* 90</f>
        <v>0.17681728880157169</v>
      </c>
      <c r="J116">
        <f>player_data_cleaning[[#This Row],[interceptionPerGame]]+player_data_cleaning[[#This Row],[clearancePerGame]]</f>
        <v>2</v>
      </c>
      <c r="K116">
        <f>(player_data_cleaning[[#This Row],[dribbleWonPerGame]]*0.5) + (player_data_cleaning[[#This Row],[keyPassPerGame]]*0.5)</f>
        <v>6</v>
      </c>
      <c r="L116">
        <f t="shared" si="6"/>
        <v>0.18523715969688462</v>
      </c>
      <c r="M116">
        <f t="shared" si="7"/>
        <v>1.4084507042253521E-2</v>
      </c>
      <c r="N116">
        <f>(player_data_cleaning[[#This Row],[BallProferssion&amp;Creativity]]- MIN(K116:K244) )/ (MAX(K116:K244) -MIN(K116:K244))</f>
        <v>0.84615384615384615</v>
      </c>
      <c r="O116">
        <v>1</v>
      </c>
      <c r="P116">
        <v>2</v>
      </c>
      <c r="Q116">
        <v>1</v>
      </c>
      <c r="R116">
        <v>3</v>
      </c>
      <c r="S116">
        <v>1</v>
      </c>
      <c r="T116">
        <v>0</v>
      </c>
      <c r="U116">
        <v>5</v>
      </c>
      <c r="V116">
        <v>3</v>
      </c>
      <c r="W116">
        <v>9</v>
      </c>
      <c r="X116">
        <v>8</v>
      </c>
      <c r="Y116">
        <v>0</v>
      </c>
      <c r="Z116">
        <v>3</v>
      </c>
      <c r="AA116">
        <v>9</v>
      </c>
      <c r="AB116">
        <v>79</v>
      </c>
      <c r="AC116">
        <v>867</v>
      </c>
      <c r="AD116">
        <v>0</v>
      </c>
      <c r="AE116">
        <v>3</v>
      </c>
      <c r="AF116">
        <v>0</v>
      </c>
      <c r="AG116">
        <v>55</v>
      </c>
      <c r="AH116">
        <v>1</v>
      </c>
      <c r="AI116">
        <v>10</v>
      </c>
      <c r="AJ116">
        <v>5</v>
      </c>
      <c r="AK116">
        <v>633</v>
      </c>
    </row>
    <row r="117" spans="1:37" x14ac:dyDescent="0.25">
      <c r="A117" s="1" t="s">
        <v>242</v>
      </c>
      <c r="B117" s="1" t="s">
        <v>186</v>
      </c>
      <c r="C117" s="1" t="s">
        <v>33</v>
      </c>
      <c r="D117">
        <v>20</v>
      </c>
      <c r="E117">
        <v>187</v>
      </c>
      <c r="F117" s="1" t="s">
        <v>81</v>
      </c>
      <c r="G117" s="1" t="s">
        <v>81</v>
      </c>
      <c r="H117">
        <v>925</v>
      </c>
      <c r="I117">
        <f>((player_data_cleaning[[#This Row],[goal]]+ player_data_cleaning[[#This Row],[assistTotal]]) /player_data_cleaning[[#This Row],[Mins Played]])* 90</f>
        <v>9.7297297297297303E-2</v>
      </c>
      <c r="J117">
        <f>player_data_cleaning[[#This Row],[interceptionPerGame]]+player_data_cleaning[[#This Row],[clearancePerGame]]</f>
        <v>13</v>
      </c>
      <c r="K117">
        <f>(player_data_cleaning[[#This Row],[dribbleWonPerGame]]*0.5) + (player_data_cleaning[[#This Row],[keyPassPerGame]]*0.5)</f>
        <v>5.5</v>
      </c>
      <c r="L117">
        <f t="shared" si="6"/>
        <v>0.10193050193050193</v>
      </c>
      <c r="M117">
        <f t="shared" si="7"/>
        <v>0.16901408450704225</v>
      </c>
      <c r="N117">
        <f>(player_data_cleaning[[#This Row],[BallProferssion&amp;Creativity]]- MIN(K117:K245) )/ (MAX(K117:K245) -MIN(K117:K245))</f>
        <v>0.76923076923076927</v>
      </c>
      <c r="O117">
        <v>4</v>
      </c>
      <c r="P117">
        <v>1</v>
      </c>
      <c r="Q117">
        <v>9</v>
      </c>
      <c r="R117">
        <v>6</v>
      </c>
      <c r="S117">
        <v>1</v>
      </c>
      <c r="T117">
        <v>0</v>
      </c>
      <c r="U117">
        <v>7</v>
      </c>
      <c r="V117">
        <v>7</v>
      </c>
      <c r="W117">
        <v>4</v>
      </c>
      <c r="X117">
        <v>1</v>
      </c>
      <c r="Y117">
        <v>1</v>
      </c>
      <c r="Z117">
        <v>1</v>
      </c>
      <c r="AA117">
        <v>7</v>
      </c>
      <c r="AB117">
        <v>303</v>
      </c>
      <c r="AC117">
        <v>763</v>
      </c>
      <c r="AD117">
        <v>2</v>
      </c>
      <c r="AE117">
        <v>15</v>
      </c>
      <c r="AF117">
        <v>0</v>
      </c>
      <c r="AG117">
        <v>11</v>
      </c>
      <c r="AH117">
        <v>11</v>
      </c>
      <c r="AI117">
        <v>11</v>
      </c>
      <c r="AJ117">
        <v>1</v>
      </c>
      <c r="AK117">
        <v>632</v>
      </c>
    </row>
    <row r="118" spans="1:37" x14ac:dyDescent="0.25">
      <c r="A118" s="1" t="s">
        <v>243</v>
      </c>
      <c r="B118" s="1" t="s">
        <v>174</v>
      </c>
      <c r="C118" s="1" t="s">
        <v>123</v>
      </c>
      <c r="D118">
        <v>20</v>
      </c>
      <c r="E118">
        <v>190</v>
      </c>
      <c r="F118" s="1" t="s">
        <v>45</v>
      </c>
      <c r="G118" s="1" t="s">
        <v>45</v>
      </c>
      <c r="H118">
        <v>865</v>
      </c>
      <c r="I118">
        <f>((player_data_cleaning[[#This Row],[goal]]+ player_data_cleaning[[#This Row],[assistTotal]]) /player_data_cleaning[[#This Row],[Mins Played]])* 90</f>
        <v>0.10404624277456648</v>
      </c>
      <c r="J118">
        <f>player_data_cleaning[[#This Row],[interceptionPerGame]]+player_data_cleaning[[#This Row],[clearancePerGame]]</f>
        <v>11</v>
      </c>
      <c r="K118">
        <f>(player_data_cleaning[[#This Row],[dribbleWonPerGame]]*0.5) + (player_data_cleaning[[#This Row],[keyPassPerGame]]*0.5)</f>
        <v>7</v>
      </c>
      <c r="L118">
        <f t="shared" si="6"/>
        <v>0.10900082576383155</v>
      </c>
      <c r="M118">
        <f t="shared" si="7"/>
        <v>0.14084507042253522</v>
      </c>
      <c r="N118">
        <f>(player_data_cleaning[[#This Row],[BallProferssion&amp;Creativity]]- MIN(K118:K246) )/ (MAX(K118:K246) -MIN(K118:K246))</f>
        <v>1</v>
      </c>
      <c r="O118">
        <v>3</v>
      </c>
      <c r="P118">
        <v>12</v>
      </c>
      <c r="Q118">
        <v>8</v>
      </c>
      <c r="R118">
        <v>8</v>
      </c>
      <c r="S118">
        <v>0</v>
      </c>
      <c r="T118">
        <v>1</v>
      </c>
      <c r="U118">
        <v>3</v>
      </c>
      <c r="V118">
        <v>6</v>
      </c>
      <c r="W118">
        <v>8</v>
      </c>
      <c r="X118">
        <v>8</v>
      </c>
      <c r="Y118">
        <v>0</v>
      </c>
      <c r="Z118">
        <v>5</v>
      </c>
      <c r="AA118">
        <v>3</v>
      </c>
      <c r="AB118">
        <v>251</v>
      </c>
      <c r="AC118">
        <v>863</v>
      </c>
      <c r="AD118">
        <v>1</v>
      </c>
      <c r="AE118">
        <v>3</v>
      </c>
      <c r="AF118">
        <v>0</v>
      </c>
      <c r="AG118">
        <v>61</v>
      </c>
      <c r="AH118">
        <v>6</v>
      </c>
      <c r="AI118">
        <v>5</v>
      </c>
      <c r="AJ118">
        <v>12</v>
      </c>
      <c r="AK118">
        <v>632</v>
      </c>
    </row>
    <row r="119" spans="1:37" x14ac:dyDescent="0.25">
      <c r="A119" s="1" t="s">
        <v>244</v>
      </c>
      <c r="B119" s="1" t="s">
        <v>90</v>
      </c>
      <c r="C119" s="1" t="s">
        <v>37</v>
      </c>
      <c r="D119">
        <v>21</v>
      </c>
      <c r="E119">
        <v>170</v>
      </c>
      <c r="F119" s="1" t="s">
        <v>83</v>
      </c>
      <c r="G119" s="1" t="s">
        <v>83</v>
      </c>
      <c r="H119">
        <v>581</v>
      </c>
      <c r="I119">
        <f>((player_data_cleaning[[#This Row],[goal]]+ player_data_cleaning[[#This Row],[assistTotal]]) /player_data_cleaning[[#This Row],[Mins Played]])* 90</f>
        <v>0.3098106712564544</v>
      </c>
      <c r="J119">
        <f>player_data_cleaning[[#This Row],[interceptionPerGame]]+player_data_cleaning[[#This Row],[clearancePerGame]]</f>
        <v>5</v>
      </c>
      <c r="K119">
        <f>(player_data_cleaning[[#This Row],[dribbleWonPerGame]]*0.5) + (player_data_cleaning[[#This Row],[keyPassPerGame]]*0.5)</f>
        <v>4.5</v>
      </c>
      <c r="L119">
        <f t="shared" si="6"/>
        <v>0.3245635603639046</v>
      </c>
      <c r="M119">
        <f t="shared" si="7"/>
        <v>5.6338028169014086E-2</v>
      </c>
      <c r="N119">
        <f>(player_data_cleaning[[#This Row],[BallProferssion&amp;Creativity]]- MIN(K119:K247) )/ (MAX(K119:K247) -MIN(K119:K247))</f>
        <v>1</v>
      </c>
      <c r="O119">
        <v>2</v>
      </c>
      <c r="P119">
        <v>2</v>
      </c>
      <c r="Q119">
        <v>3</v>
      </c>
      <c r="R119">
        <v>3</v>
      </c>
      <c r="S119">
        <v>1</v>
      </c>
      <c r="T119">
        <v>1</v>
      </c>
      <c r="U119">
        <v>8</v>
      </c>
      <c r="V119">
        <v>3</v>
      </c>
      <c r="W119">
        <v>6</v>
      </c>
      <c r="X119">
        <v>7</v>
      </c>
      <c r="Y119">
        <v>0</v>
      </c>
      <c r="Z119">
        <v>2</v>
      </c>
      <c r="AA119">
        <v>6</v>
      </c>
      <c r="AB119">
        <v>124</v>
      </c>
      <c r="AC119">
        <v>847</v>
      </c>
      <c r="AD119">
        <v>1</v>
      </c>
      <c r="AE119">
        <v>1</v>
      </c>
      <c r="AF119">
        <v>0</v>
      </c>
      <c r="AG119">
        <v>168</v>
      </c>
      <c r="AH119">
        <v>26</v>
      </c>
      <c r="AI119">
        <v>16</v>
      </c>
      <c r="AJ119">
        <v>11</v>
      </c>
      <c r="AK119">
        <v>632</v>
      </c>
    </row>
    <row r="120" spans="1:37" x14ac:dyDescent="0.25">
      <c r="A120" s="1" t="s">
        <v>245</v>
      </c>
      <c r="B120" s="1" t="s">
        <v>53</v>
      </c>
      <c r="C120" s="1" t="s">
        <v>54</v>
      </c>
      <c r="D120">
        <v>20</v>
      </c>
      <c r="E120">
        <v>180</v>
      </c>
      <c r="F120" s="1" t="s">
        <v>45</v>
      </c>
      <c r="G120" s="1" t="s">
        <v>45</v>
      </c>
      <c r="H120">
        <v>1140</v>
      </c>
      <c r="I120">
        <f>((player_data_cleaning[[#This Row],[goal]]+ player_data_cleaning[[#This Row],[assistTotal]]) /player_data_cleaning[[#This Row],[Mins Played]])* 90</f>
        <v>7.8947368421052627E-2</v>
      </c>
      <c r="J120">
        <f>player_data_cleaning[[#This Row],[interceptionPerGame]]+player_data_cleaning[[#This Row],[clearancePerGame]]</f>
        <v>9</v>
      </c>
      <c r="K120">
        <f>(player_data_cleaning[[#This Row],[dribbleWonPerGame]]*0.5) + (player_data_cleaning[[#This Row],[keyPassPerGame]]*0.5)</f>
        <v>3.5</v>
      </c>
      <c r="L120">
        <f t="shared" si="6"/>
        <v>8.2706766917293228E-2</v>
      </c>
      <c r="M120">
        <f t="shared" si="7"/>
        <v>0.11267605633802817</v>
      </c>
      <c r="N120">
        <f>(player_data_cleaning[[#This Row],[BallProferssion&amp;Creativity]]- MIN(K120:K248) )/ (MAX(K120:K248) -MIN(K120:K248))</f>
        <v>0.8571428571428571</v>
      </c>
      <c r="O120">
        <v>1</v>
      </c>
      <c r="P120">
        <v>8</v>
      </c>
      <c r="Q120">
        <v>8</v>
      </c>
      <c r="R120">
        <v>14</v>
      </c>
      <c r="S120">
        <v>0</v>
      </c>
      <c r="T120">
        <v>1</v>
      </c>
      <c r="U120">
        <v>1</v>
      </c>
      <c r="V120">
        <v>4</v>
      </c>
      <c r="W120">
        <v>3</v>
      </c>
      <c r="X120">
        <v>1</v>
      </c>
      <c r="Y120">
        <v>0</v>
      </c>
      <c r="Z120">
        <v>6</v>
      </c>
      <c r="AA120">
        <v>7</v>
      </c>
      <c r="AB120">
        <v>336</v>
      </c>
      <c r="AC120">
        <v>847</v>
      </c>
      <c r="AD120">
        <v>0</v>
      </c>
      <c r="AE120">
        <v>5</v>
      </c>
      <c r="AF120">
        <v>1</v>
      </c>
      <c r="AG120">
        <v>16</v>
      </c>
      <c r="AH120">
        <v>1</v>
      </c>
      <c r="AI120">
        <v>1</v>
      </c>
      <c r="AJ120">
        <v>16</v>
      </c>
      <c r="AK120">
        <v>632</v>
      </c>
    </row>
    <row r="121" spans="1:37" x14ac:dyDescent="0.25">
      <c r="A121" s="1" t="s">
        <v>246</v>
      </c>
      <c r="B121" s="1" t="s">
        <v>247</v>
      </c>
      <c r="C121" s="1" t="s">
        <v>171</v>
      </c>
      <c r="D121">
        <v>20</v>
      </c>
      <c r="E121">
        <v>192</v>
      </c>
      <c r="F121" s="1" t="s">
        <v>59</v>
      </c>
      <c r="G121" s="1" t="s">
        <v>59</v>
      </c>
      <c r="H121">
        <v>1859</v>
      </c>
      <c r="I121">
        <f>((player_data_cleaning[[#This Row],[goal]]+ player_data_cleaning[[#This Row],[assistTotal]]) /player_data_cleaning[[#This Row],[Mins Played]])* 90</f>
        <v>0</v>
      </c>
      <c r="J121">
        <f>player_data_cleaning[[#This Row],[interceptionPerGame]]+player_data_cleaning[[#This Row],[clearancePerGame]]</f>
        <v>28</v>
      </c>
      <c r="K121">
        <f>(player_data_cleaning[[#This Row],[dribbleWonPerGame]]*0.5) + (player_data_cleaning[[#This Row],[keyPassPerGame]]*0.5)</f>
        <v>1</v>
      </c>
      <c r="L121">
        <f t="shared" si="6"/>
        <v>0</v>
      </c>
      <c r="M121">
        <f t="shared" si="7"/>
        <v>0.38028169014084506</v>
      </c>
      <c r="N121">
        <f>(player_data_cleaning[[#This Row],[BallProferssion&amp;Creativity]]- MIN(K121:K249) )/ (MAX(K121:K249) -MIN(K121:K249))</f>
        <v>0.14285714285714285</v>
      </c>
      <c r="O121">
        <v>1</v>
      </c>
      <c r="P121">
        <v>7</v>
      </c>
      <c r="Q121">
        <v>27</v>
      </c>
      <c r="R121">
        <v>8</v>
      </c>
      <c r="S121">
        <v>0</v>
      </c>
      <c r="T121">
        <v>0</v>
      </c>
      <c r="U121">
        <v>1</v>
      </c>
      <c r="V121">
        <v>1</v>
      </c>
      <c r="W121">
        <v>1</v>
      </c>
      <c r="X121">
        <v>9</v>
      </c>
      <c r="Y121">
        <v>0</v>
      </c>
      <c r="Z121">
        <v>2</v>
      </c>
      <c r="AA121">
        <v>5</v>
      </c>
      <c r="AB121">
        <v>291</v>
      </c>
      <c r="AC121">
        <v>781</v>
      </c>
      <c r="AD121">
        <v>0</v>
      </c>
      <c r="AE121">
        <v>23</v>
      </c>
      <c r="AF121">
        <v>0</v>
      </c>
      <c r="AG121">
        <v>13</v>
      </c>
      <c r="AH121">
        <v>1</v>
      </c>
      <c r="AI121">
        <v>3</v>
      </c>
      <c r="AJ121">
        <v>4</v>
      </c>
      <c r="AK121">
        <v>630</v>
      </c>
    </row>
    <row r="122" spans="1:37" x14ac:dyDescent="0.25">
      <c r="A122" s="1" t="s">
        <v>248</v>
      </c>
      <c r="B122" s="1" t="s">
        <v>249</v>
      </c>
      <c r="C122" s="1" t="s">
        <v>171</v>
      </c>
      <c r="D122">
        <v>21</v>
      </c>
      <c r="E122">
        <v>189</v>
      </c>
      <c r="F122" s="1" t="s">
        <v>168</v>
      </c>
      <c r="G122" s="1" t="s">
        <v>168</v>
      </c>
      <c r="H122">
        <v>1300</v>
      </c>
      <c r="I122">
        <f>((player_data_cleaning[[#This Row],[goal]]+ player_data_cleaning[[#This Row],[assistTotal]]) /player_data_cleaning[[#This Row],[Mins Played]])* 90</f>
        <v>6.9230769230769235E-2</v>
      </c>
      <c r="J122">
        <f>player_data_cleaning[[#This Row],[interceptionPerGame]]+player_data_cleaning[[#This Row],[clearancePerGame]]</f>
        <v>22</v>
      </c>
      <c r="K122">
        <f>(player_data_cleaning[[#This Row],[dribbleWonPerGame]]*0.5) + (player_data_cleaning[[#This Row],[keyPassPerGame]]*0.5)</f>
        <v>1.5</v>
      </c>
      <c r="L122">
        <f t="shared" si="6"/>
        <v>7.2527472527472533E-2</v>
      </c>
      <c r="M122">
        <f t="shared" si="7"/>
        <v>0.29577464788732394</v>
      </c>
      <c r="N122">
        <f>(player_data_cleaning[[#This Row],[BallProferssion&amp;Creativity]]- MIN(K122:K250) )/ (MAX(K122:K250) -MIN(K122:K250))</f>
        <v>0.2857142857142857</v>
      </c>
      <c r="O122">
        <v>7</v>
      </c>
      <c r="P122">
        <v>6</v>
      </c>
      <c r="Q122">
        <v>15</v>
      </c>
      <c r="R122">
        <v>6</v>
      </c>
      <c r="S122">
        <v>0</v>
      </c>
      <c r="T122">
        <v>1</v>
      </c>
      <c r="U122">
        <v>3</v>
      </c>
      <c r="V122">
        <v>2</v>
      </c>
      <c r="W122">
        <v>1</v>
      </c>
      <c r="X122">
        <v>2</v>
      </c>
      <c r="Y122">
        <v>0</v>
      </c>
      <c r="Z122">
        <v>3</v>
      </c>
      <c r="AA122">
        <v>5</v>
      </c>
      <c r="AB122">
        <v>219</v>
      </c>
      <c r="AC122">
        <v>827</v>
      </c>
      <c r="AD122">
        <v>1</v>
      </c>
      <c r="AE122">
        <v>14</v>
      </c>
      <c r="AF122">
        <v>0</v>
      </c>
      <c r="AG122">
        <v>8</v>
      </c>
      <c r="AH122">
        <v>1</v>
      </c>
      <c r="AI122">
        <v>5</v>
      </c>
      <c r="AJ122">
        <v>2</v>
      </c>
      <c r="AK122">
        <v>629</v>
      </c>
    </row>
    <row r="123" spans="1:37" x14ac:dyDescent="0.25">
      <c r="A123" s="1" t="s">
        <v>250</v>
      </c>
      <c r="B123" s="1" t="s">
        <v>198</v>
      </c>
      <c r="C123" s="1" t="s">
        <v>37</v>
      </c>
      <c r="D123">
        <v>19</v>
      </c>
      <c r="E123">
        <v>190</v>
      </c>
      <c r="F123" s="1" t="s">
        <v>59</v>
      </c>
      <c r="G123" s="1" t="s">
        <v>59</v>
      </c>
      <c r="H123">
        <v>652</v>
      </c>
      <c r="I123">
        <f>((player_data_cleaning[[#This Row],[goal]]+ player_data_cleaning[[#This Row],[assistTotal]]) /player_data_cleaning[[#This Row],[Mins Played]])* 90</f>
        <v>0</v>
      </c>
      <c r="J123">
        <f>player_data_cleaning[[#This Row],[interceptionPerGame]]+player_data_cleaning[[#This Row],[clearancePerGame]]</f>
        <v>20</v>
      </c>
      <c r="K123">
        <f>(player_data_cleaning[[#This Row],[dribbleWonPerGame]]*0.5) + (player_data_cleaning[[#This Row],[keyPassPerGame]]*0.5)</f>
        <v>0.5</v>
      </c>
      <c r="L123">
        <f t="shared" si="6"/>
        <v>0</v>
      </c>
      <c r="M123">
        <f t="shared" si="7"/>
        <v>0.26760563380281688</v>
      </c>
      <c r="N123">
        <f>(player_data_cleaning[[#This Row],[BallProferssion&amp;Creativity]]- MIN(K123:K251) )/ (MAX(K123:K251) -MIN(K123:K251))</f>
        <v>0</v>
      </c>
      <c r="O123">
        <v>1</v>
      </c>
      <c r="P123">
        <v>5</v>
      </c>
      <c r="Q123">
        <v>19</v>
      </c>
      <c r="R123">
        <v>5</v>
      </c>
      <c r="S123">
        <v>0</v>
      </c>
      <c r="T123">
        <v>0</v>
      </c>
      <c r="U123">
        <v>4</v>
      </c>
      <c r="V123">
        <v>0</v>
      </c>
      <c r="W123">
        <v>1</v>
      </c>
      <c r="X123">
        <v>1</v>
      </c>
      <c r="Y123">
        <v>1</v>
      </c>
      <c r="Z123">
        <v>0</v>
      </c>
      <c r="AA123">
        <v>1</v>
      </c>
      <c r="AB123">
        <v>321</v>
      </c>
      <c r="AC123">
        <v>93</v>
      </c>
      <c r="AD123">
        <v>1</v>
      </c>
      <c r="AE123">
        <v>11</v>
      </c>
      <c r="AF123">
        <v>0</v>
      </c>
      <c r="AG123">
        <v>11</v>
      </c>
      <c r="AH123">
        <v>15</v>
      </c>
      <c r="AI123">
        <v>5</v>
      </c>
      <c r="AJ123">
        <v>22</v>
      </c>
      <c r="AK123">
        <v>628</v>
      </c>
    </row>
    <row r="124" spans="1:37" x14ac:dyDescent="0.25">
      <c r="A124" s="1" t="s">
        <v>251</v>
      </c>
      <c r="B124" s="1" t="s">
        <v>252</v>
      </c>
      <c r="C124" s="1" t="s">
        <v>37</v>
      </c>
      <c r="D124">
        <v>21</v>
      </c>
      <c r="E124">
        <v>175</v>
      </c>
      <c r="F124" s="1" t="s">
        <v>126</v>
      </c>
      <c r="G124" s="1" t="s">
        <v>126</v>
      </c>
      <c r="H124">
        <v>564</v>
      </c>
      <c r="I124">
        <f>((player_data_cleaning[[#This Row],[goal]]+ player_data_cleaning[[#This Row],[assistTotal]]) /player_data_cleaning[[#This Row],[Mins Played]])* 90</f>
        <v>0.15957446808510639</v>
      </c>
      <c r="J124">
        <f>player_data_cleaning[[#This Row],[interceptionPerGame]]+player_data_cleaning[[#This Row],[clearancePerGame]]</f>
        <v>10</v>
      </c>
      <c r="K124">
        <f>(player_data_cleaning[[#This Row],[dribbleWonPerGame]]*0.5) + (player_data_cleaning[[#This Row],[keyPassPerGame]]*0.5)</f>
        <v>4</v>
      </c>
      <c r="L124">
        <f t="shared" si="6"/>
        <v>0.16717325227963525</v>
      </c>
      <c r="M124">
        <f t="shared" si="7"/>
        <v>0.12676056338028169</v>
      </c>
      <c r="N124">
        <f>(player_data_cleaning[[#This Row],[BallProferssion&amp;Creativity]]- MIN(K124:K252) )/ (MAX(K124:K252) -MIN(K124:K252))</f>
        <v>1</v>
      </c>
      <c r="O124">
        <v>2</v>
      </c>
      <c r="P124">
        <v>1</v>
      </c>
      <c r="Q124">
        <v>8</v>
      </c>
      <c r="R124">
        <v>5</v>
      </c>
      <c r="S124">
        <v>1</v>
      </c>
      <c r="T124">
        <v>0</v>
      </c>
      <c r="U124">
        <v>2</v>
      </c>
      <c r="V124">
        <v>6</v>
      </c>
      <c r="W124">
        <v>2</v>
      </c>
      <c r="X124">
        <v>2</v>
      </c>
      <c r="Y124">
        <v>0</v>
      </c>
      <c r="Z124">
        <v>4</v>
      </c>
      <c r="AA124">
        <v>8</v>
      </c>
      <c r="AB124">
        <v>106</v>
      </c>
      <c r="AC124">
        <v>683</v>
      </c>
      <c r="AD124">
        <v>2</v>
      </c>
      <c r="AE124">
        <v>2</v>
      </c>
      <c r="AF124">
        <v>0</v>
      </c>
      <c r="AG124">
        <v>48</v>
      </c>
      <c r="AH124">
        <v>8</v>
      </c>
      <c r="AI124">
        <v>4</v>
      </c>
      <c r="AJ124">
        <v>12</v>
      </c>
      <c r="AK124">
        <v>627</v>
      </c>
    </row>
    <row r="125" spans="1:37" x14ac:dyDescent="0.25">
      <c r="A125" s="1" t="s">
        <v>253</v>
      </c>
      <c r="B125" s="1" t="s">
        <v>254</v>
      </c>
      <c r="C125" s="1" t="s">
        <v>123</v>
      </c>
      <c r="D125">
        <v>21</v>
      </c>
      <c r="E125">
        <v>187</v>
      </c>
      <c r="F125" s="1" t="s">
        <v>81</v>
      </c>
      <c r="G125" s="1" t="s">
        <v>81</v>
      </c>
      <c r="H125">
        <v>619</v>
      </c>
      <c r="I125">
        <f>((player_data_cleaning[[#This Row],[goal]]+ player_data_cleaning[[#This Row],[assistTotal]]) /player_data_cleaning[[#This Row],[Mins Played]])* 90</f>
        <v>0</v>
      </c>
      <c r="J125">
        <f>player_data_cleaning[[#This Row],[interceptionPerGame]]+player_data_cleaning[[#This Row],[clearancePerGame]]</f>
        <v>11</v>
      </c>
      <c r="K125">
        <f>(player_data_cleaning[[#This Row],[dribbleWonPerGame]]*0.5) + (player_data_cleaning[[#This Row],[keyPassPerGame]]*0.5)</f>
        <v>3</v>
      </c>
      <c r="L125">
        <f t="shared" si="6"/>
        <v>0</v>
      </c>
      <c r="M125">
        <f t="shared" si="7"/>
        <v>0.14084507042253522</v>
      </c>
      <c r="N125">
        <f>(player_data_cleaning[[#This Row],[BallProferssion&amp;Creativity]]- MIN(K125:K253) )/ (MAX(K125:K253) -MIN(K125:K253))</f>
        <v>0.66666666666666663</v>
      </c>
      <c r="O125">
        <v>5</v>
      </c>
      <c r="P125">
        <v>8</v>
      </c>
      <c r="Q125">
        <v>6</v>
      </c>
      <c r="R125">
        <v>4</v>
      </c>
      <c r="S125">
        <v>0</v>
      </c>
      <c r="T125">
        <v>0</v>
      </c>
      <c r="U125">
        <v>6</v>
      </c>
      <c r="V125">
        <v>2</v>
      </c>
      <c r="W125">
        <v>4</v>
      </c>
      <c r="X125">
        <v>5</v>
      </c>
      <c r="Y125">
        <v>0</v>
      </c>
      <c r="Z125">
        <v>9</v>
      </c>
      <c r="AA125">
        <v>11</v>
      </c>
      <c r="AB125">
        <v>118</v>
      </c>
      <c r="AC125">
        <v>794</v>
      </c>
      <c r="AD125">
        <v>0</v>
      </c>
      <c r="AE125">
        <v>1</v>
      </c>
      <c r="AF125">
        <v>0</v>
      </c>
      <c r="AG125">
        <v>93</v>
      </c>
      <c r="AH125">
        <v>14</v>
      </c>
      <c r="AI125">
        <v>8</v>
      </c>
      <c r="AJ125">
        <v>12</v>
      </c>
      <c r="AK125">
        <v>624</v>
      </c>
    </row>
    <row r="126" spans="1:37" x14ac:dyDescent="0.25">
      <c r="A126" s="1" t="s">
        <v>255</v>
      </c>
      <c r="B126" s="1" t="s">
        <v>207</v>
      </c>
      <c r="C126" s="1" t="s">
        <v>33</v>
      </c>
      <c r="D126">
        <v>18</v>
      </c>
      <c r="E126">
        <v>188</v>
      </c>
      <c r="F126" s="1" t="s">
        <v>39</v>
      </c>
      <c r="G126" s="1" t="s">
        <v>39</v>
      </c>
      <c r="H126">
        <v>567</v>
      </c>
      <c r="I126">
        <f>((player_data_cleaning[[#This Row],[goal]]+ player_data_cleaning[[#This Row],[assistTotal]]) /player_data_cleaning[[#This Row],[Mins Played]])* 90</f>
        <v>0.31746031746031744</v>
      </c>
      <c r="J126">
        <f>player_data_cleaning[[#This Row],[interceptionPerGame]]+player_data_cleaning[[#This Row],[clearancePerGame]]</f>
        <v>3</v>
      </c>
      <c r="K126">
        <f>(player_data_cleaning[[#This Row],[dribbleWonPerGame]]*0.5) + (player_data_cleaning[[#This Row],[keyPassPerGame]]*0.5)</f>
        <v>2.5</v>
      </c>
      <c r="L126">
        <f t="shared" si="6"/>
        <v>0.33257747543461824</v>
      </c>
      <c r="M126">
        <f t="shared" si="7"/>
        <v>2.8169014084507043E-2</v>
      </c>
      <c r="N126">
        <f>(player_data_cleaning[[#This Row],[BallProferssion&amp;Creativity]]- MIN(K126:K254) )/ (MAX(K126:K254) -MIN(K126:K254))</f>
        <v>0.5</v>
      </c>
      <c r="O126">
        <v>1</v>
      </c>
      <c r="P126">
        <v>6</v>
      </c>
      <c r="Q126">
        <v>2</v>
      </c>
      <c r="R126">
        <v>2</v>
      </c>
      <c r="S126">
        <v>1</v>
      </c>
      <c r="T126">
        <v>1</v>
      </c>
      <c r="U126">
        <v>6</v>
      </c>
      <c r="V126">
        <v>4</v>
      </c>
      <c r="W126">
        <v>1</v>
      </c>
      <c r="X126">
        <v>4</v>
      </c>
      <c r="Y126">
        <v>2</v>
      </c>
      <c r="Z126">
        <v>4</v>
      </c>
      <c r="AA126">
        <v>13</v>
      </c>
      <c r="AB126">
        <v>57</v>
      </c>
      <c r="AC126">
        <v>755</v>
      </c>
      <c r="AD126">
        <v>1</v>
      </c>
      <c r="AE126">
        <v>1</v>
      </c>
      <c r="AF126">
        <v>1</v>
      </c>
      <c r="AG126">
        <v>142</v>
      </c>
      <c r="AH126">
        <v>23</v>
      </c>
      <c r="AI126">
        <v>10</v>
      </c>
      <c r="AJ126">
        <v>14</v>
      </c>
      <c r="AK126">
        <v>619</v>
      </c>
    </row>
    <row r="127" spans="1:37" x14ac:dyDescent="0.25">
      <c r="A127" s="1" t="s">
        <v>256</v>
      </c>
      <c r="B127" s="1" t="s">
        <v>92</v>
      </c>
      <c r="C127" s="1" t="s">
        <v>93</v>
      </c>
      <c r="D127">
        <v>21</v>
      </c>
      <c r="E127">
        <v>183</v>
      </c>
      <c r="F127" s="1" t="s">
        <v>59</v>
      </c>
      <c r="G127" s="1" t="s">
        <v>59</v>
      </c>
      <c r="H127">
        <v>1271</v>
      </c>
      <c r="I127">
        <f>((player_data_cleaning[[#This Row],[goal]]+ player_data_cleaning[[#This Row],[assistTotal]]) /player_data_cleaning[[#This Row],[Mins Played]])* 90</f>
        <v>0</v>
      </c>
      <c r="J127">
        <f>player_data_cleaning[[#This Row],[interceptionPerGame]]+player_data_cleaning[[#This Row],[clearancePerGame]]</f>
        <v>45</v>
      </c>
      <c r="K127">
        <f>(player_data_cleaning[[#This Row],[dribbleWonPerGame]]*0.5) + (player_data_cleaning[[#This Row],[keyPassPerGame]]*0.5)</f>
        <v>1</v>
      </c>
      <c r="L127">
        <f t="shared" si="6"/>
        <v>0</v>
      </c>
      <c r="M127">
        <f t="shared" si="7"/>
        <v>0.61971830985915488</v>
      </c>
      <c r="N127">
        <f>(player_data_cleaning[[#This Row],[BallProferssion&amp;Creativity]]- MIN(K127:K255) )/ (MAX(K127:K255) -MIN(K127:K255))</f>
        <v>0</v>
      </c>
      <c r="O127">
        <v>6</v>
      </c>
      <c r="P127">
        <v>8</v>
      </c>
      <c r="Q127">
        <v>39</v>
      </c>
      <c r="R127">
        <v>3</v>
      </c>
      <c r="S127">
        <v>0</v>
      </c>
      <c r="T127">
        <v>0</v>
      </c>
      <c r="U127">
        <v>1</v>
      </c>
      <c r="V127">
        <v>1</v>
      </c>
      <c r="W127">
        <v>1</v>
      </c>
      <c r="X127">
        <v>2</v>
      </c>
      <c r="Y127">
        <v>0</v>
      </c>
      <c r="Z127">
        <v>1</v>
      </c>
      <c r="AA127">
        <v>1</v>
      </c>
      <c r="AB127">
        <v>399</v>
      </c>
      <c r="AC127">
        <v>834</v>
      </c>
      <c r="AD127">
        <v>1</v>
      </c>
      <c r="AE127">
        <v>19</v>
      </c>
      <c r="AF127">
        <v>0</v>
      </c>
      <c r="AG127">
        <v>8</v>
      </c>
      <c r="AH127">
        <v>1</v>
      </c>
      <c r="AI127">
        <v>2</v>
      </c>
      <c r="AJ127">
        <v>4</v>
      </c>
      <c r="AK127">
        <v>618</v>
      </c>
    </row>
    <row r="128" spans="1:37" x14ac:dyDescent="0.25">
      <c r="A128" s="1" t="s">
        <v>257</v>
      </c>
      <c r="B128" s="1" t="s">
        <v>196</v>
      </c>
      <c r="C128" s="1" t="s">
        <v>33</v>
      </c>
      <c r="D128">
        <v>19</v>
      </c>
      <c r="E128">
        <v>177</v>
      </c>
      <c r="F128" s="1" t="s">
        <v>81</v>
      </c>
      <c r="G128" s="1" t="s">
        <v>81</v>
      </c>
      <c r="H128">
        <v>858</v>
      </c>
      <c r="I128">
        <f>((player_data_cleaning[[#This Row],[goal]]+ player_data_cleaning[[#This Row],[assistTotal]]) /player_data_cleaning[[#This Row],[Mins Played]])* 90</f>
        <v>0</v>
      </c>
      <c r="J128">
        <f>player_data_cleaning[[#This Row],[interceptionPerGame]]+player_data_cleaning[[#This Row],[clearancePerGame]]</f>
        <v>9</v>
      </c>
      <c r="K128">
        <f>(player_data_cleaning[[#This Row],[dribbleWonPerGame]]*0.5) + (player_data_cleaning[[#This Row],[keyPassPerGame]]*0.5)</f>
        <v>3.5</v>
      </c>
      <c r="L128">
        <f t="shared" si="6"/>
        <v>0</v>
      </c>
      <c r="M128">
        <f t="shared" si="7"/>
        <v>0.11267605633802817</v>
      </c>
      <c r="N128">
        <f>(player_data_cleaning[[#This Row],[BallProferssion&amp;Creativity]]- MIN(K128:K256) )/ (MAX(K128:K256) -MIN(K128:K256))</f>
        <v>0.5</v>
      </c>
      <c r="O128">
        <v>7</v>
      </c>
      <c r="P128">
        <v>4</v>
      </c>
      <c r="Q128">
        <v>2</v>
      </c>
      <c r="R128">
        <v>5</v>
      </c>
      <c r="S128">
        <v>0</v>
      </c>
      <c r="T128">
        <v>0</v>
      </c>
      <c r="U128">
        <v>4</v>
      </c>
      <c r="V128">
        <v>4</v>
      </c>
      <c r="W128">
        <v>3</v>
      </c>
      <c r="X128">
        <v>5</v>
      </c>
      <c r="Y128">
        <v>0</v>
      </c>
      <c r="Z128">
        <v>5</v>
      </c>
      <c r="AA128">
        <v>13</v>
      </c>
      <c r="AB128">
        <v>174</v>
      </c>
      <c r="AC128">
        <v>783</v>
      </c>
      <c r="AD128">
        <v>0</v>
      </c>
      <c r="AE128">
        <v>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617</v>
      </c>
    </row>
    <row r="129" spans="1:37" x14ac:dyDescent="0.25">
      <c r="A129" s="1" t="s">
        <v>258</v>
      </c>
      <c r="B129" s="1" t="s">
        <v>77</v>
      </c>
      <c r="C129" s="1" t="s">
        <v>44</v>
      </c>
      <c r="D129">
        <v>19</v>
      </c>
      <c r="E129">
        <v>178</v>
      </c>
      <c r="F129" s="1" t="s">
        <v>69</v>
      </c>
      <c r="G129" s="1" t="s">
        <v>69</v>
      </c>
      <c r="H129">
        <v>941</v>
      </c>
      <c r="I129">
        <f>((player_data_cleaning[[#This Row],[goal]]+ player_data_cleaning[[#This Row],[assistTotal]]) /player_data_cleaning[[#This Row],[Mins Played]])* 90</f>
        <v>9.5642933049946866E-2</v>
      </c>
      <c r="J129">
        <f>player_data_cleaning[[#This Row],[interceptionPerGame]]+player_data_cleaning[[#This Row],[clearancePerGame]]</f>
        <v>10</v>
      </c>
      <c r="K129">
        <f>(player_data_cleaning[[#This Row],[dribbleWonPerGame]]*0.5) + (player_data_cleaning[[#This Row],[keyPassPerGame]]*0.5)</f>
        <v>3</v>
      </c>
      <c r="L129">
        <f t="shared" si="6"/>
        <v>0.10019735843327766</v>
      </c>
      <c r="M129">
        <f t="shared" si="7"/>
        <v>0.12676056338028169</v>
      </c>
      <c r="N129">
        <f>(player_data_cleaning[[#This Row],[BallProferssion&amp;Creativity]]- MIN(K129:K257) )/ (MAX(K129:K257) -MIN(K129:K257))</f>
        <v>0</v>
      </c>
      <c r="O129">
        <v>3</v>
      </c>
      <c r="P129">
        <v>4</v>
      </c>
      <c r="Q129">
        <v>7</v>
      </c>
      <c r="R129">
        <v>2</v>
      </c>
      <c r="S129">
        <v>0</v>
      </c>
      <c r="T129">
        <v>1</v>
      </c>
      <c r="U129">
        <v>2</v>
      </c>
      <c r="V129">
        <v>2</v>
      </c>
      <c r="W129">
        <v>4</v>
      </c>
      <c r="X129">
        <v>3</v>
      </c>
      <c r="Y129">
        <v>0</v>
      </c>
      <c r="Z129">
        <v>7</v>
      </c>
      <c r="AA129">
        <v>7</v>
      </c>
      <c r="AB129">
        <v>211</v>
      </c>
      <c r="AC129">
        <v>839</v>
      </c>
      <c r="AD129">
        <v>1</v>
      </c>
      <c r="AE129">
        <v>5</v>
      </c>
      <c r="AF129">
        <v>0</v>
      </c>
      <c r="AG129">
        <v>14</v>
      </c>
      <c r="AH129">
        <v>1</v>
      </c>
      <c r="AI129">
        <v>3</v>
      </c>
      <c r="AJ129">
        <v>5</v>
      </c>
      <c r="AK129">
        <v>615</v>
      </c>
    </row>
    <row r="130" spans="1:37" x14ac:dyDescent="0.25">
      <c r="A130" s="1" t="s">
        <v>259</v>
      </c>
      <c r="B130" s="1" t="s">
        <v>260</v>
      </c>
      <c r="C130" s="1" t="s">
        <v>33</v>
      </c>
      <c r="D130">
        <v>21</v>
      </c>
      <c r="E130">
        <v>180</v>
      </c>
      <c r="F130" s="1" t="s">
        <v>83</v>
      </c>
      <c r="G130" s="1" t="s">
        <v>39</v>
      </c>
      <c r="H130">
        <v>511</v>
      </c>
      <c r="I130">
        <f>((player_data_cleaning[[#This Row],[goal]]+ player_data_cleaning[[#This Row],[assistTotal]]) /player_data_cleaning[[#This Row],[Mins Played]])* 90</f>
        <v>0.17612524461839529</v>
      </c>
      <c r="J130">
        <f>player_data_cleaning[[#This Row],[interceptionPerGame]]+player_data_cleaning[[#This Row],[clearancePerGame]]</f>
        <v>5</v>
      </c>
      <c r="K130">
        <f>(player_data_cleaning[[#This Row],[dribbleWonPerGame]]*0.5) + (player_data_cleaning[[#This Row],[keyPassPerGame]]*0.5)</f>
        <v>4</v>
      </c>
      <c r="L130">
        <f t="shared" si="6"/>
        <v>0.18451216102879506</v>
      </c>
      <c r="M130">
        <f t="shared" si="7"/>
        <v>5.6338028169014086E-2</v>
      </c>
      <c r="N130" t="e">
        <f>(player_data_cleaning[[#This Row],[BallProferssion&amp;Creativity]]- MIN(K130:K258) )/ (MAX(K130:K258) -MIN(K130:K258))</f>
        <v>#DIV/0!</v>
      </c>
      <c r="O130">
        <v>2</v>
      </c>
      <c r="P130">
        <v>5</v>
      </c>
      <c r="Q130">
        <v>3</v>
      </c>
      <c r="R130">
        <v>3</v>
      </c>
      <c r="S130">
        <v>1</v>
      </c>
      <c r="T130">
        <v>0</v>
      </c>
      <c r="U130">
        <v>1</v>
      </c>
      <c r="V130">
        <v>5</v>
      </c>
      <c r="W130">
        <v>3</v>
      </c>
      <c r="X130">
        <v>2</v>
      </c>
      <c r="Y130">
        <v>0</v>
      </c>
      <c r="Z130">
        <v>3</v>
      </c>
      <c r="AA130">
        <v>12</v>
      </c>
      <c r="AB130">
        <v>9</v>
      </c>
      <c r="AC130">
        <v>778</v>
      </c>
      <c r="AD130">
        <v>3</v>
      </c>
      <c r="AE130">
        <v>2</v>
      </c>
      <c r="AF130">
        <v>1</v>
      </c>
      <c r="AG130">
        <v>302</v>
      </c>
      <c r="AH130">
        <v>53</v>
      </c>
      <c r="AI130">
        <v>19</v>
      </c>
      <c r="AJ130">
        <v>16</v>
      </c>
      <c r="AK130">
        <v>610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B832D5-3A56-4131-85DF-E22808AC48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player_data_cleaning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Musik Jiwa</dc:creator>
  <cp:lastModifiedBy>Musik Jiwa</cp:lastModifiedBy>
  <dcterms:created xsi:type="dcterms:W3CDTF">2026-03-10T01:40:48Z</dcterms:created>
  <dcterms:modified xsi:type="dcterms:W3CDTF">2026-03-10T03:29:28Z</dcterms:modified>
</cp:coreProperties>
</file>